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lufred11/Desktop/Vibe coding/documents/"/>
    </mc:Choice>
  </mc:AlternateContent>
  <xr:revisionPtr revIDLastSave="0" documentId="13_ncr:1_{F4E0C37D-2892-C745-9D40-8F85A433D6A1}" xr6:coauthVersionLast="47" xr6:coauthVersionMax="47" xr10:uidLastSave="{00000000-0000-0000-0000-000000000000}"/>
  <bookViews>
    <workbookView xWindow="0" yWindow="760" windowWidth="34200" windowHeight="21380" tabRatio="500" activeTab="5" xr2:uid="{00000000-000D-0000-FFFF-FFFF00000000}"/>
  </bookViews>
  <sheets>
    <sheet name="Cover" sheetId="1" r:id="rId1"/>
    <sheet name="1. P&amp;L Historique" sheetId="2" r:id="rId2"/>
    <sheet name="2. EBITDA Normalisé" sheetId="3" r:id="rId3"/>
    <sheet name="3. BFR Normatif" sheetId="4" r:id="rId4"/>
    <sheet name="4. Dette Nette" sheetId="5" r:id="rId5"/>
    <sheet name="5. Pont EV-Equit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6" l="1"/>
  <c r="E27" i="6"/>
  <c r="D27" i="6"/>
  <c r="F26" i="6"/>
  <c r="F27" i="6" s="1"/>
  <c r="E26" i="6"/>
  <c r="D26" i="6"/>
  <c r="E21" i="6"/>
  <c r="D21" i="6"/>
  <c r="E18" i="6"/>
  <c r="E28" i="6" s="1"/>
  <c r="D18" i="6"/>
  <c r="F10" i="6"/>
  <c r="F18" i="6" s="1"/>
  <c r="E10" i="6"/>
  <c r="D10" i="6"/>
  <c r="D21" i="5"/>
  <c r="F15" i="5"/>
  <c r="E15" i="5"/>
  <c r="E18" i="5" s="1"/>
  <c r="E22" i="5" s="1"/>
  <c r="D15" i="5"/>
  <c r="F8" i="5"/>
  <c r="F21" i="5" s="1"/>
  <c r="E8" i="5"/>
  <c r="E21" i="5" s="1"/>
  <c r="D8" i="5"/>
  <c r="D18" i="5" s="1"/>
  <c r="D22" i="5" s="1"/>
  <c r="F22" i="4"/>
  <c r="E22" i="4"/>
  <c r="D22" i="4"/>
  <c r="F19" i="4"/>
  <c r="E19" i="4"/>
  <c r="F18" i="4"/>
  <c r="E18" i="4"/>
  <c r="D18" i="4"/>
  <c r="F17" i="4"/>
  <c r="F24" i="4" s="1"/>
  <c r="F25" i="4" s="1"/>
  <c r="D17" i="4"/>
  <c r="F9" i="4"/>
  <c r="E9" i="4"/>
  <c r="D9" i="4"/>
  <c r="D19" i="4" s="1"/>
  <c r="D24" i="4" s="1"/>
  <c r="D25" i="4" s="1"/>
  <c r="F7" i="4"/>
  <c r="E7" i="4"/>
  <c r="E17" i="4" s="1"/>
  <c r="E24" i="4" s="1"/>
  <c r="E25" i="4" s="1"/>
  <c r="D7" i="4"/>
  <c r="F16" i="3"/>
  <c r="F20" i="3" s="1"/>
  <c r="F13" i="3"/>
  <c r="E13" i="3"/>
  <c r="E16" i="3" s="1"/>
  <c r="D13" i="3"/>
  <c r="D16" i="3" s="1"/>
  <c r="F39" i="2"/>
  <c r="J39" i="2" s="1"/>
  <c r="E39" i="2"/>
  <c r="H39" i="2" s="1"/>
  <c r="D39" i="2"/>
  <c r="J38" i="2"/>
  <c r="I38" i="2"/>
  <c r="H38" i="2"/>
  <c r="J37" i="2"/>
  <c r="I37" i="2"/>
  <c r="H37" i="2"/>
  <c r="E35" i="2"/>
  <c r="F34" i="2"/>
  <c r="F35" i="2" s="1"/>
  <c r="E34" i="2"/>
  <c r="D34" i="2"/>
  <c r="D35" i="2" s="1"/>
  <c r="J33" i="2"/>
  <c r="I33" i="2"/>
  <c r="H33" i="2"/>
  <c r="J32" i="2"/>
  <c r="I32" i="2"/>
  <c r="H32" i="2"/>
  <c r="J31" i="2"/>
  <c r="I31" i="2"/>
  <c r="H31" i="2"/>
  <c r="J30" i="2"/>
  <c r="I30" i="2"/>
  <c r="H30" i="2"/>
  <c r="F27" i="2"/>
  <c r="F28" i="2" s="1"/>
  <c r="E27" i="2"/>
  <c r="E28" i="2" s="1"/>
  <c r="D27" i="2"/>
  <c r="D28" i="2" s="1"/>
  <c r="J26" i="2"/>
  <c r="I26" i="2"/>
  <c r="H26" i="2"/>
  <c r="F24" i="2"/>
  <c r="E24" i="2"/>
  <c r="D24" i="2"/>
  <c r="J23" i="2"/>
  <c r="I23" i="2"/>
  <c r="H23" i="2"/>
  <c r="F22" i="2"/>
  <c r="E22" i="2"/>
  <c r="D22" i="2"/>
  <c r="J21" i="2"/>
  <c r="I21" i="2"/>
  <c r="H21" i="2"/>
  <c r="F18" i="2"/>
  <c r="F19" i="2" s="1"/>
  <c r="E18" i="2"/>
  <c r="E19" i="2" s="1"/>
  <c r="D18" i="2"/>
  <c r="D19" i="2" s="1"/>
  <c r="J17" i="2"/>
  <c r="I17" i="2"/>
  <c r="H17" i="2"/>
  <c r="F16" i="2"/>
  <c r="E16" i="2"/>
  <c r="D16" i="2"/>
  <c r="J15" i="2"/>
  <c r="I15" i="2"/>
  <c r="H15" i="2"/>
  <c r="F14" i="2"/>
  <c r="E14" i="2"/>
  <c r="D14" i="2"/>
  <c r="J13" i="2"/>
  <c r="I13" i="2"/>
  <c r="H13" i="2"/>
  <c r="F10" i="2"/>
  <c r="F11" i="2" s="1"/>
  <c r="E10" i="2"/>
  <c r="E11" i="2" s="1"/>
  <c r="D10" i="2"/>
  <c r="D11" i="2" s="1"/>
  <c r="J9" i="2"/>
  <c r="I9" i="2"/>
  <c r="H9" i="2"/>
  <c r="J8" i="2"/>
  <c r="I8" i="2"/>
  <c r="H8" i="2"/>
  <c r="J7" i="2"/>
  <c r="I7" i="2"/>
  <c r="H7" i="2"/>
  <c r="J6" i="2"/>
  <c r="I6" i="2"/>
  <c r="H6" i="2"/>
  <c r="E20" i="3" l="1"/>
  <c r="E17" i="3"/>
  <c r="D29" i="4"/>
  <c r="D26" i="4"/>
  <c r="D20" i="3"/>
  <c r="D17" i="3"/>
  <c r="E29" i="4"/>
  <c r="E31" i="4" s="1"/>
  <c r="E26" i="4"/>
  <c r="F29" i="4"/>
  <c r="F26" i="4"/>
  <c r="F28" i="6"/>
  <c r="F21" i="6"/>
  <c r="I39" i="2"/>
  <c r="F17" i="3"/>
  <c r="F18" i="5"/>
  <c r="F22" i="5" s="1"/>
</calcChain>
</file>

<file path=xl/sharedStrings.xml><?xml version="1.0" encoding="utf-8"?>
<sst xmlns="http://schemas.openxmlformats.org/spreadsheetml/2006/main" count="235" uniqueCount="220">
  <si>
    <t>MOULINVEST — FINANCIAL DUE DILIGENCE MODEL</t>
  </si>
  <si>
    <t>Analyse financière TS sur données publiques | Frédéric Lu — IMT Business School | Juin 2026</t>
  </si>
  <si>
    <t>Société analysée</t>
  </si>
  <si>
    <t>MOULINVEST (EPA:ALMOU)</t>
  </si>
  <si>
    <t>Marché</t>
  </si>
  <si>
    <t>Euronext Growth Paris</t>
  </si>
  <si>
    <t>Secteur</t>
  </si>
  <si>
    <t>Industrie — Transformation du bois</t>
  </si>
  <si>
    <t>Exercice comptable</t>
  </si>
  <si>
    <t>Clôture au 31 août (exercice décalé)</t>
  </si>
  <si>
    <t>Périmètre d'analyse</t>
  </si>
  <si>
    <t>FY2022/23, FY2023/24, FY2024/25</t>
  </si>
  <si>
    <t>Sources</t>
  </si>
  <si>
    <t>Rapports annuels consolidés publics, communiqués de résultats</t>
  </si>
  <si>
    <t>Analyste</t>
  </si>
  <si>
    <t>Frédéric Lu</t>
  </si>
  <si>
    <t>Date</t>
  </si>
  <si>
    <t>Juin 2026</t>
  </si>
  <si>
    <t>ONGLETS DU MODÈLE</t>
  </si>
  <si>
    <t>1. P&amp;L Historique</t>
  </si>
  <si>
    <t>Compte de résultat sur 3 exercices + marges</t>
  </si>
  <si>
    <t>2. EBITDA Normalisé</t>
  </si>
  <si>
    <t>Retraitements et calcul de l'EBITDA normatif</t>
  </si>
  <si>
    <t>3. BFR Normatif</t>
  </si>
  <si>
    <t>Calcul des jours de rotation et BFR structurel</t>
  </si>
  <si>
    <t>4. Dette Nette</t>
  </si>
  <si>
    <t>Construction de la dette nette ajustée</t>
  </si>
  <si>
    <t>5. Pont EV-Equity</t>
  </si>
  <si>
    <t>Valorisation et bridge EV vers Equity Value</t>
  </si>
  <si>
    <t>COLOR CODING</t>
  </si>
  <si>
    <t>Texte bleu</t>
  </si>
  <si>
    <t>Inputs hardcodés (données saisies manuellement)</t>
  </si>
  <si>
    <t>Texte noir</t>
  </si>
  <si>
    <t>Formules et calculs</t>
  </si>
  <si>
    <t>Texte vert</t>
  </si>
  <si>
    <t>Liens vers autres onglets</t>
  </si>
  <si>
    <t>Fond jaune</t>
  </si>
  <si>
    <t>Hypothèse clé à réviser selon scénario</t>
  </si>
  <si>
    <t>AVERTISSEMENT</t>
  </si>
  <si>
    <t>Il ne constitue pas un conseil en investissement.</t>
  </si>
  <si>
    <t>Sans accès data room, les retraitements sont des estimations.</t>
  </si>
  <si>
    <t>MOULINVEST — COMPTE DE RÉSULTAT CONSOLIDÉ HISTORIQUE</t>
  </si>
  <si>
    <t>Données en M€ (sauf mentions contraires) | Sources : Rapports annuels consolidés MOULINVEST FY2023, FY2024, FY2025</t>
  </si>
  <si>
    <t>Agrégat</t>
  </si>
  <si>
    <t>FY2022/23</t>
  </si>
  <si>
    <t>FY2023/24</t>
  </si>
  <si>
    <t>FY2024/25</t>
  </si>
  <si>
    <t>Var. FY23→24</t>
  </si>
  <si>
    <t>Var. FY24→25</t>
  </si>
  <si>
    <t>CAGR 2Y</t>
  </si>
  <si>
    <t>CHIFFRE D'AFFAIRES</t>
  </si>
  <si>
    <t>Chiffre d'affaires consolidé</t>
  </si>
  <si>
    <t xml:space="preserve">  dont Bois Construction</t>
  </si>
  <si>
    <t xml:space="preserve">  dont Bois Énergie</t>
  </si>
  <si>
    <t xml:space="preserve">  dont Imprégnation</t>
  </si>
  <si>
    <t xml:space="preserve">  Export (% CA)</t>
  </si>
  <si>
    <t>MARGES BRUTES &amp; EXPLOITATION</t>
  </si>
  <si>
    <t>Marge brute</t>
  </si>
  <si>
    <t xml:space="preserve">  Taux de marge brute</t>
  </si>
  <si>
    <t>Charges de personnel</t>
  </si>
  <si>
    <t xml:space="preserve">  % CA</t>
  </si>
  <si>
    <t>Autres achats &amp; charges externes</t>
  </si>
  <si>
    <t>EBITDA (EBE)</t>
  </si>
  <si>
    <t>EBITDA consolidé</t>
  </si>
  <si>
    <t xml:space="preserve">  Marge EBITDA (% CA)</t>
  </si>
  <si>
    <t>Dotations amortissements &amp; dépréciations</t>
  </si>
  <si>
    <t>RÉSULTAT D'EXPLOITATION (EBIT/REX)</t>
  </si>
  <si>
    <t>Résultat d'exploitation</t>
  </si>
  <si>
    <t xml:space="preserve">  Marge EBIT (% CA)</t>
  </si>
  <si>
    <t>RÉSULTAT NET</t>
  </si>
  <si>
    <t>Résultat financier net</t>
  </si>
  <si>
    <t>Résultat exceptionnel</t>
  </si>
  <si>
    <t>Impôt sur les sociétés</t>
  </si>
  <si>
    <t>Résultat net Groupe (part du groupe)</t>
  </si>
  <si>
    <t xml:space="preserve">  Marge nette (% CA)</t>
  </si>
  <si>
    <t>DONNÉES COMPLÉMENTAIRES</t>
  </si>
  <si>
    <t>Flux de trésorerie d'exploitation</t>
  </si>
  <si>
    <t>Capex estimé</t>
  </si>
  <si>
    <t>FCF estimé (Flux exploit. + Capex)</t>
  </si>
  <si>
    <t>MOULINVEST — EBITDA NORMALISÉ &amp; RETRAITEMENTS</t>
  </si>
  <si>
    <t>Objectif : calculer l'EBITDA représentatif de la performance récurrente de MOULINVEST | En M€</t>
  </si>
  <si>
    <t>Élément</t>
  </si>
  <si>
    <t>Commentaire / Justification</t>
  </si>
  <si>
    <t>BASE — EBITDA COMPTABLE</t>
  </si>
  <si>
    <t>EBITDA comptable publié</t>
  </si>
  <si>
    <t>Source: Rapports annuels consolidés MOULINVEST FY2023, FY2024, FY2025</t>
  </si>
  <si>
    <t>RETRAITEMENTS NON RÉCURRENTS</t>
  </si>
  <si>
    <t>(–) Résultat exceptionnel FY2024</t>
  </si>
  <si>
    <t>FY2024: +0.58 M€ lié à des cessions d'actifs immobilisés. Produit non récurrent → retrait de la base normative.</t>
  </si>
  <si>
    <t>(+) Surcoût énergétique estimé FY2024</t>
  </si>
  <si>
    <t>Renégociation contrats électricité jan.2025 → économie ~14% charges ext. FY25 vs FY24. Surcoût ponctuel estimé à 1.5 M€ sur FY24. Retraitement prudent.</t>
  </si>
  <si>
    <t>(+) Provisions / charges restructuration</t>
  </si>
  <si>
    <t>Aucun élément publié identifié. À vérifier en data room via les annexes aux comptes.</t>
  </si>
  <si>
    <t>(+/-) Rémunération dirigeant non-market</t>
  </si>
  <si>
    <t>Hypothèse : rémunération at-market. À confirmer en DD (risque classique PME familiale). Modifier si nécessaire.</t>
  </si>
  <si>
    <t>TOTAL RETRAITEMENTS</t>
  </si>
  <si>
    <t>Somme des ajustements identifiés</t>
  </si>
  <si>
    <t>EBITDA NORMALISÉ</t>
  </si>
  <si>
    <t>EBITDA normalisé</t>
  </si>
  <si>
    <t>EBITDA comptable + Total retraitements</t>
  </si>
  <si>
    <t xml:space="preserve">  Marge EBITDA normalisée (% CA)</t>
  </si>
  <si>
    <t>Référence CA : onglet P&amp;L Historique</t>
  </si>
  <si>
    <t>ANALYSE DE LA NORMALISATION</t>
  </si>
  <si>
    <t xml:space="preserve">  Δ EBITDA normalisé vs comptable</t>
  </si>
  <si>
    <t>Impact total des retraitements</t>
  </si>
  <si>
    <t xml:space="preserve">  EBITDA normatif moyen FY24-FY25 (€)</t>
  </si>
  <si>
    <t>Base de valorisation retenue — base case</t>
  </si>
  <si>
    <t xml:space="preserve">  EBITDA normatif moyen (marge %)</t>
  </si>
  <si>
    <t>Niveau structurel de rentabilité estimé</t>
  </si>
  <si>
    <t>MOULINVEST — BESOIN EN FONDS DE ROULEMENT (BFR) NORMATIF</t>
  </si>
  <si>
    <t>Objectif : calculer le BFR structurel de MOULINVEST et identifier l'écart vs BFR comptable | En M€ sauf jours</t>
  </si>
  <si>
    <t>Commentaire</t>
  </si>
  <si>
    <t>DONNÉES D'ENTRÉE (INPUTS)</t>
  </si>
  <si>
    <t>Chiffre d'affaires HT</t>
  </si>
  <si>
    <t>Source: PL Historique</t>
  </si>
  <si>
    <t>CA TTC (TVA 20%)</t>
  </si>
  <si>
    <t>CA HT x 1.20</t>
  </si>
  <si>
    <t>Achats consommés (HT)</t>
  </si>
  <si>
    <t>Estimé: CA×45% (industrie bois)</t>
  </si>
  <si>
    <t>Achats TTC</t>
  </si>
  <si>
    <t>Achats HT x 1.20</t>
  </si>
  <si>
    <t>POSTES DU BILAN ESTIMÉS (M€)</t>
  </si>
  <si>
    <t>Créances clients (bilan)</t>
  </si>
  <si>
    <t>Estimé depuis flux de trésorerie publiés. À affiner en DD.</t>
  </si>
  <si>
    <t>Stocks (bilan)</t>
  </si>
  <si>
    <t>Hausse FY25 : montée en capacité sciage — rapport annuel</t>
  </si>
  <si>
    <t>Dettes fournisseurs (bilan)</t>
  </si>
  <si>
    <t>Estimé — à confirmer en data room</t>
  </si>
  <si>
    <t>RATIOS DE ROTATION (JOURS)</t>
  </si>
  <si>
    <t>Jours clients (Clients / CA TTC × 365)</t>
  </si>
  <si>
    <t>Mesure le délai moyen d'encaissement</t>
  </si>
  <si>
    <t>Jours stocks (Stocks / Achats HT × 365)</t>
  </si>
  <si>
    <t>Norme secteur bois: 90-140 jours</t>
  </si>
  <si>
    <t>Jours fournisseurs (Fourn. / Achats TTC × 365)</t>
  </si>
  <si>
    <t>Mesure le délai moyen de règlement</t>
  </si>
  <si>
    <t>CALCUL DU BFR (M€)</t>
  </si>
  <si>
    <t>BFR Comptable (Clients + Stocks – Fournisseurs)</t>
  </si>
  <si>
    <t>Photo bilan à la date de clôture (31/08)</t>
  </si>
  <si>
    <t>Jours BFR normatif (J.Clients + J.Stocks – J.Fourn.)</t>
  </si>
  <si>
    <t>Nombre de jours de CA immobilisé en BFR</t>
  </si>
  <si>
    <t>BFR Normatif (Jours BFR × CA HT / 365)</t>
  </si>
  <si>
    <t>BFR structurel en cycle normalisé</t>
  </si>
  <si>
    <t xml:space="preserve">  BFR Normatif (% CA)</t>
  </si>
  <si>
    <t>ANALYSE DE L'ÉCART BFR</t>
  </si>
  <si>
    <t>Écart BFR Normatif – BFR Comptable</t>
  </si>
  <si>
    <t>Positif = BFR comptable &lt; normatif → signal de vigilance</t>
  </si>
  <si>
    <t xml:space="preserve">  Interprétation</t>
  </si>
  <si>
    <t>Écart positif: acheteur financera la différence post-closing (ajustement de prix)</t>
  </si>
  <si>
    <t>Ajustement de prix potentiel</t>
  </si>
  <si>
    <t>Ecart FY24 — a contractualiser en locked box</t>
  </si>
  <si>
    <t>MOULINVEST — DETTE NETTE AJUSTÉE &amp; ÉLÉMENTS DEBT-LIKE</t>
  </si>
  <si>
    <t>Objectif : construire la dette nette ajustée incluant tous les éléments debt-like | En M€</t>
  </si>
  <si>
    <t>DETTE NETTE COMPTABLE</t>
  </si>
  <si>
    <t>Dettes financières brutes</t>
  </si>
  <si>
    <t>Source: Rapports annuels consolidés MOULINVEST</t>
  </si>
  <si>
    <t>(–) Trésorerie &amp; équivalents de trésorerie</t>
  </si>
  <si>
    <t>Source: Rapports annuels consolidés</t>
  </si>
  <si>
    <t>Dette Nette Comptable</t>
  </si>
  <si>
    <t>Dettes financières – Trésorerie</t>
  </si>
  <si>
    <t>ÉLÉMENTS DEBT-LIKE</t>
  </si>
  <si>
    <t>(+) Engagements de retraite (IAS 19 estimé)</t>
  </si>
  <si>
    <t>Estimé prudemment. Groupe industriel avec ~300 salariés et plusieurs filiales. À quantifier précisément en DD via notes annexes.</t>
  </si>
  <si>
    <t>(+) Dettes locatives IFRS 16</t>
  </si>
  <si>
    <t>Crédit-bail construction (CBC) inclus dans dettes financières — estimé résiduel</t>
  </si>
  <si>
    <t>(+) Passifs environnementaux</t>
  </si>
  <si>
    <t>Non chiffré publiquement. À vérifier en data room.</t>
  </si>
  <si>
    <t>(+) Arriérés fiscaux / sociaux</t>
  </si>
  <si>
    <t>Aucun signal identifié dans les rapports publics</t>
  </si>
  <si>
    <t>Total Elements Debt-Like</t>
  </si>
  <si>
    <t>Somme des éléments assimilables à de la dette</t>
  </si>
  <si>
    <t>DETTE NETTE AJUSTÉE</t>
  </si>
  <si>
    <t>Dette Nette Ajustee</t>
  </si>
  <si>
    <t>Dette Nette Comptable + Total Éléments Debt-Like</t>
  </si>
  <si>
    <t>RATIOS DE LEVIER</t>
  </si>
  <si>
    <t>DN Comptable / EBITDA normalisé</t>
  </si>
  <si>
    <t>Levier financier standard</t>
  </si>
  <si>
    <t>DN Ajustée / EBITDA normalisé</t>
  </si>
  <si>
    <t>Levier ajusté (vue acquéreur)</t>
  </si>
  <si>
    <t>DN Ajustée / Capitaux propres</t>
  </si>
  <si>
    <t>Source: rapports annuels MOULINVEST</t>
  </si>
  <si>
    <t>EBITDA normalisé (rappel — onglet 2)</t>
  </si>
  <si>
    <t>Lien vers onglet EBITDA Normalisé</t>
  </si>
  <si>
    <t>MOULINVEST — PONT EV / EQUITY VALUE (BASE CASE)</t>
  </si>
  <si>
    <t>Valorisation indicative par la méthode des multiples EV/EBITDA | En M€ | Données FY2023/24 retenues comme base</t>
  </si>
  <si>
    <t>Bear Case</t>
  </si>
  <si>
    <t>Base Case</t>
  </si>
  <si>
    <t>Bull Case</t>
  </si>
  <si>
    <t>Hypothèses &amp; Commentaires</t>
  </si>
  <si>
    <t>HYPOTHÈSES DE VALORISATION</t>
  </si>
  <si>
    <t>EBITDA normalisé retenu (M€)</t>
  </si>
  <si>
    <t>Bear=FY24 normalisé | Base=moy FY24n-FY25 | Bull=FY25</t>
  </si>
  <si>
    <t>Multiple EV/EBITDA retenu (x)</t>
  </si>
  <si>
    <t>Secteur bois/industrie PME non coté. Fourchette marché 5x-7x (transactions comparables EU 2022-2025)</t>
  </si>
  <si>
    <t>CALCUL DE LA VALEUR D'ENTREPRISE</t>
  </si>
  <si>
    <t>Valeur d'Entreprise (VE = EBITDA × Multiple)</t>
  </si>
  <si>
    <t>PONT EV → EQUITY VALUE</t>
  </si>
  <si>
    <t>(–) Dette nette comptable FY2024</t>
  </si>
  <si>
    <t>Source: onglet 4 — Dette Nette</t>
  </si>
  <si>
    <t>(–) Engagements de retraite</t>
  </si>
  <si>
    <t>Source: onglet 4 — Debt-like item</t>
  </si>
  <si>
    <t>(–) Dettes locatives IFRS 16</t>
  </si>
  <si>
    <t>(–) Ajustement BFR normatif FY2024</t>
  </si>
  <si>
    <t>Source: onglet 3 — BFR normatif &gt; BFR comptable</t>
  </si>
  <si>
    <t>(+) Éléments cash-like identifiés</t>
  </si>
  <si>
    <t>Aucun actif non opérationnel significatif identifié publiquement. À vérifier en DD.</t>
  </si>
  <si>
    <t>Equity Value Estimee</t>
  </si>
  <si>
    <t>Prix des capitaux propres = VE – Ajustements nets</t>
  </si>
  <si>
    <t>ANALYSE DE SENSIBILITÉ</t>
  </si>
  <si>
    <t>Prime de contrôle estimée (30%)</t>
  </si>
  <si>
    <t>Prime standard sur transactions PME non cotées</t>
  </si>
  <si>
    <t>Equity Value avec prime de contrôle</t>
  </si>
  <si>
    <t>RÉFÉRENCE MARCHÉ</t>
  </si>
  <si>
    <t>Capitalisation boursière (estimée, M€)</t>
  </si>
  <si>
    <t>Estimation sur cours ~7,5 €/action × 3,025M actions — à vérifier</t>
  </si>
  <si>
    <t>VE implicite marché (Capi + DN compta)</t>
  </si>
  <si>
    <t>Capi + DN comptable FY2024</t>
  </si>
  <si>
    <t>Multiple VE/EBITDA implicite (marché)</t>
  </si>
  <si>
    <t>VE implicite / EBITDA FY25 normalisé</t>
  </si>
  <si>
    <t>Prime implicite Base Case vs Marché (%)</t>
  </si>
  <si>
    <t>Mesure le premium d'acquisition vs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</si>
</sst>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\(#,##0.0\);\-"/>
    <numFmt numFmtId="165" formatCode="0.0%;\(0.0%\);\-"/>
    <numFmt numFmtId="166" formatCode="0.0;\(0.0\);\-"/>
    <numFmt numFmtId="167" formatCode="0.0\x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4A5568"/>
      <name val="Calibri"/>
      <family val="2"/>
    </font>
    <font>
      <b/>
      <sz val="10"/>
      <color rgb="FFFFFFFF"/>
      <name val="Calibri"/>
      <family val="2"/>
    </font>
    <font>
      <b/>
      <sz val="10"/>
      <color rgb="FF2D6A4F"/>
      <name val="Calibri"/>
      <family val="2"/>
    </font>
    <font>
      <sz val="10"/>
      <color rgb="FF0000FF"/>
      <name val="Calibri"/>
      <family val="2"/>
    </font>
    <font>
      <sz val="10"/>
      <color rgb="FF000000"/>
      <name val="Calibri"/>
      <family val="2"/>
    </font>
    <font>
      <sz val="10"/>
      <color rgb="FF006400"/>
      <name val="Calibri"/>
      <family val="2"/>
    </font>
    <font>
      <b/>
      <sz val="14"/>
      <color rgb="FFFFFFFF"/>
      <name val="Calibri"/>
      <family val="2"/>
    </font>
    <font>
      <i/>
      <sz val="9"/>
      <color rgb="FF4A5568"/>
      <name val="Calibri"/>
      <family val="2"/>
    </font>
    <font>
      <b/>
      <sz val="10"/>
      <color rgb="FF1A2C4E"/>
      <name val="Calibri"/>
      <family val="2"/>
    </font>
    <font>
      <b/>
      <sz val="10"/>
      <color rgb="FF0000FF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0"/>
      <color rgb="FF000000"/>
      <name val="Calibri"/>
      <family val="2"/>
    </font>
    <font>
      <i/>
      <sz val="10"/>
      <color rgb="FF006400"/>
      <name val="Calibri"/>
      <family val="2"/>
    </font>
    <font>
      <b/>
      <sz val="11"/>
      <color rgb="FF0000FF"/>
      <name val="Calibri"/>
      <family val="2"/>
    </font>
    <font>
      <b/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2C4E"/>
        <bgColor rgb="FF333333"/>
      </patternFill>
    </fill>
    <fill>
      <patternFill patternType="solid">
        <fgColor rgb="FF2D6A4F"/>
        <bgColor rgb="FF4A5568"/>
      </patternFill>
    </fill>
    <fill>
      <patternFill patternType="solid">
        <fgColor rgb="FFEBF1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2B788"/>
        <bgColor rgb="FF33CCCC"/>
      </patternFill>
    </fill>
  </fills>
  <borders count="3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  <border>
      <left/>
      <right/>
      <top/>
      <bottom style="thin">
        <color rgb="FFC0C8D8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8" fillId="0" borderId="2" xfId="0" applyNumberFormat="1" applyFont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11" fillId="0" borderId="0" xfId="0" applyFont="1"/>
    <xf numFmtId="0" fontId="10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6" fillId="4" borderId="0" xfId="0" applyFont="1" applyFill="1"/>
    <xf numFmtId="0" fontId="4" fillId="4" borderId="0" xfId="0" applyFont="1" applyFill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5" borderId="0" xfId="0" applyFont="1" applyFill="1"/>
    <xf numFmtId="0" fontId="5" fillId="2" borderId="1" xfId="0" applyFont="1" applyFill="1" applyBorder="1" applyAlignment="1">
      <alignment horizontal="center" vertical="center"/>
    </xf>
    <xf numFmtId="0" fontId="12" fillId="4" borderId="2" xfId="0" applyFont="1" applyFill="1" applyBorder="1"/>
    <xf numFmtId="164" fontId="13" fillId="4" borderId="1" xfId="0" applyNumberFormat="1" applyFont="1" applyFill="1" applyBorder="1" applyAlignment="1">
      <alignment horizontal="right" vertical="center"/>
    </xf>
    <xf numFmtId="165" fontId="14" fillId="4" borderId="2" xfId="0" applyNumberFormat="1" applyFont="1" applyFill="1" applyBorder="1" applyAlignment="1">
      <alignment horizontal="right" vertical="center"/>
    </xf>
    <xf numFmtId="0" fontId="4" fillId="0" borderId="2" xfId="0" applyFont="1" applyBorder="1"/>
    <xf numFmtId="164" fontId="7" fillId="0" borderId="2" xfId="0" applyNumberFormat="1" applyFont="1" applyBorder="1" applyAlignment="1">
      <alignment horizontal="right" vertical="center"/>
    </xf>
    <xf numFmtId="165" fontId="15" fillId="0" borderId="2" xfId="0" applyNumberFormat="1" applyFont="1" applyBorder="1" applyAlignment="1">
      <alignment horizontal="right" vertical="center"/>
    </xf>
    <xf numFmtId="0" fontId="11" fillId="0" borderId="2" xfId="0" applyFont="1" applyBorder="1"/>
    <xf numFmtId="164" fontId="3" fillId="4" borderId="1" xfId="0" applyNumberFormat="1" applyFont="1" applyFill="1" applyBorder="1" applyAlignment="1">
      <alignment horizontal="right" vertical="center"/>
    </xf>
    <xf numFmtId="165" fontId="14" fillId="4" borderId="0" xfId="0" applyNumberFormat="1" applyFont="1" applyFill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164" fontId="8" fillId="0" borderId="2" xfId="0" applyNumberFormat="1" applyFont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15" fillId="0" borderId="2" xfId="0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16" fillId="5" borderId="1" xfId="0" applyNumberFormat="1" applyFont="1" applyFill="1" applyBorder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64" fontId="17" fillId="2" borderId="1" xfId="0" applyNumberFormat="1" applyFont="1" applyFill="1" applyBorder="1" applyAlignment="1">
      <alignment horizontal="right" vertical="center"/>
    </xf>
    <xf numFmtId="167" fontId="18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164" fontId="20" fillId="5" borderId="1" xfId="0" applyNumberFormat="1" applyFont="1" applyFill="1" applyBorder="1" applyAlignment="1">
      <alignment horizontal="right" vertical="center"/>
    </xf>
    <xf numFmtId="164" fontId="17" fillId="6" borderId="1" xfId="0" applyNumberFormat="1" applyFont="1" applyFill="1" applyBorder="1" applyAlignment="1">
      <alignment horizontal="right" vertical="center"/>
    </xf>
    <xf numFmtId="164" fontId="9" fillId="0" borderId="2" xfId="0" applyNumberFormat="1" applyFont="1" applyBorder="1" applyAlignment="1">
      <alignment horizontal="right" vertical="center"/>
    </xf>
    <xf numFmtId="164" fontId="21" fillId="2" borderId="1" xfId="0" applyNumberFormat="1" applyFont="1" applyFill="1" applyBorder="1" applyAlignment="1">
      <alignment horizontal="right" vertical="center"/>
    </xf>
    <xf numFmtId="164" fontId="18" fillId="0" borderId="2" xfId="0" applyNumberFormat="1" applyFont="1" applyBorder="1" applyAlignment="1">
      <alignment horizontal="right" vertical="center"/>
    </xf>
    <xf numFmtId="167" fontId="18" fillId="0" borderId="2" xfId="0" applyNumberFormat="1" applyFont="1" applyBorder="1" applyAlignment="1">
      <alignment horizontal="right" vertical="center"/>
    </xf>
    <xf numFmtId="165" fontId="18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2D6A4F"/>
      <rgbColor rgb="FFC0C8D8"/>
      <rgbColor rgb="FF808080"/>
      <rgbColor rgb="FF9999FF"/>
      <rgbColor rgb="FF993366"/>
      <rgbColor rgb="FFFFFFCC"/>
      <rgbColor rgb="FFEBF1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A2C4E"/>
      <rgbColor rgb="FF52B788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30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35" customWidth="1"/>
    <col min="3" max="3" width="45" customWidth="1"/>
    <col min="4" max="4" width="20" customWidth="1"/>
  </cols>
  <sheetData>
    <row r="2" spans="2:4" ht="34.5" customHeight="1" x14ac:dyDescent="0.2">
      <c r="B2" s="8" t="s">
        <v>0</v>
      </c>
      <c r="C2" s="8"/>
      <c r="D2" s="8"/>
    </row>
    <row r="3" spans="2:4" ht="15" customHeight="1" x14ac:dyDescent="0.2">
      <c r="B3" s="7" t="s">
        <v>1</v>
      </c>
      <c r="C3" s="7"/>
      <c r="D3" s="7"/>
    </row>
    <row r="5" spans="2:4" ht="15.75" customHeight="1" x14ac:dyDescent="0.2">
      <c r="B5" s="9"/>
      <c r="C5" s="10"/>
    </row>
    <row r="6" spans="2:4" ht="15.75" customHeight="1" x14ac:dyDescent="0.2">
      <c r="B6" s="9" t="s">
        <v>2</v>
      </c>
      <c r="C6" s="10" t="s">
        <v>3</v>
      </c>
    </row>
    <row r="7" spans="2:4" ht="15.75" customHeight="1" x14ac:dyDescent="0.2">
      <c r="B7" s="9" t="s">
        <v>4</v>
      </c>
      <c r="C7" s="10" t="s">
        <v>5</v>
      </c>
    </row>
    <row r="8" spans="2:4" ht="15.75" customHeight="1" x14ac:dyDescent="0.2">
      <c r="B8" s="9" t="s">
        <v>6</v>
      </c>
      <c r="C8" s="10" t="s">
        <v>7</v>
      </c>
    </row>
    <row r="9" spans="2:4" ht="15.75" customHeight="1" x14ac:dyDescent="0.2">
      <c r="B9" s="9" t="s">
        <v>8</v>
      </c>
      <c r="C9" s="10" t="s">
        <v>9</v>
      </c>
    </row>
    <row r="10" spans="2:4" ht="15.75" customHeight="1" x14ac:dyDescent="0.2">
      <c r="B10" s="9" t="s">
        <v>10</v>
      </c>
      <c r="C10" s="10" t="s">
        <v>11</v>
      </c>
    </row>
    <row r="11" spans="2:4" ht="15.75" customHeight="1" x14ac:dyDescent="0.2">
      <c r="B11" s="9" t="s">
        <v>12</v>
      </c>
      <c r="C11" s="10" t="s">
        <v>13</v>
      </c>
    </row>
    <row r="12" spans="2:4" ht="15.75" customHeight="1" x14ac:dyDescent="0.2">
      <c r="B12" s="9" t="s">
        <v>14</v>
      </c>
      <c r="C12" s="10" t="s">
        <v>15</v>
      </c>
    </row>
    <row r="13" spans="2:4" ht="15.75" customHeight="1" x14ac:dyDescent="0.2">
      <c r="B13" s="9" t="s">
        <v>16</v>
      </c>
      <c r="C13" s="10" t="s">
        <v>17</v>
      </c>
    </row>
    <row r="14" spans="2:4" ht="15.75" customHeight="1" x14ac:dyDescent="0.2">
      <c r="B14" s="9"/>
      <c r="C14" s="10"/>
    </row>
    <row r="15" spans="2:4" ht="15.75" customHeight="1" x14ac:dyDescent="0.2">
      <c r="B15" s="6" t="s">
        <v>18</v>
      </c>
      <c r="C15" s="6"/>
      <c r="D15" s="6"/>
    </row>
    <row r="16" spans="2:4" ht="15.75" customHeight="1" x14ac:dyDescent="0.2">
      <c r="B16" s="11" t="s">
        <v>19</v>
      </c>
      <c r="C16" s="12" t="s">
        <v>20</v>
      </c>
    </row>
    <row r="17" spans="2:4" ht="15.75" customHeight="1" x14ac:dyDescent="0.2">
      <c r="B17" s="11" t="s">
        <v>21</v>
      </c>
      <c r="C17" s="12" t="s">
        <v>22</v>
      </c>
    </row>
    <row r="18" spans="2:4" ht="15.75" customHeight="1" x14ac:dyDescent="0.2">
      <c r="B18" s="11" t="s">
        <v>23</v>
      </c>
      <c r="C18" s="12" t="s">
        <v>24</v>
      </c>
    </row>
    <row r="19" spans="2:4" ht="15.75" customHeight="1" x14ac:dyDescent="0.2">
      <c r="B19" s="11" t="s">
        <v>25</v>
      </c>
      <c r="C19" s="12" t="s">
        <v>26</v>
      </c>
    </row>
    <row r="20" spans="2:4" ht="15.75" customHeight="1" x14ac:dyDescent="0.2">
      <c r="B20" s="11" t="s">
        <v>27</v>
      </c>
      <c r="C20" s="12" t="s">
        <v>28</v>
      </c>
    </row>
    <row r="21" spans="2:4" ht="15.75" customHeight="1" x14ac:dyDescent="0.2">
      <c r="B21" s="9"/>
      <c r="C21" s="10"/>
    </row>
    <row r="22" spans="2:4" ht="15.75" customHeight="1" x14ac:dyDescent="0.2">
      <c r="B22" s="6" t="s">
        <v>29</v>
      </c>
      <c r="C22" s="6"/>
      <c r="D22" s="6"/>
    </row>
    <row r="23" spans="2:4" ht="15.75" customHeight="1" x14ac:dyDescent="0.2">
      <c r="B23" s="9" t="s">
        <v>30</v>
      </c>
      <c r="C23" s="13" t="s">
        <v>31</v>
      </c>
    </row>
    <row r="24" spans="2:4" ht="15.75" customHeight="1" x14ac:dyDescent="0.2">
      <c r="B24" s="9" t="s">
        <v>32</v>
      </c>
      <c r="C24" s="14" t="s">
        <v>33</v>
      </c>
    </row>
    <row r="25" spans="2:4" ht="15.75" customHeight="1" x14ac:dyDescent="0.2">
      <c r="B25" s="9" t="s">
        <v>34</v>
      </c>
      <c r="C25" s="15" t="s">
        <v>35</v>
      </c>
    </row>
    <row r="26" spans="2:4" ht="15.75" customHeight="1" x14ac:dyDescent="0.2">
      <c r="B26" s="9" t="s">
        <v>36</v>
      </c>
      <c r="C26" s="16" t="s">
        <v>37</v>
      </c>
    </row>
    <row r="27" spans="2:4" ht="15.75" customHeight="1" x14ac:dyDescent="0.2">
      <c r="B27" s="9"/>
      <c r="C27" s="10"/>
    </row>
    <row r="28" spans="2:4" ht="15.75" customHeight="1" x14ac:dyDescent="0.2">
      <c r="B28" s="6" t="s">
        <v>38</v>
      </c>
      <c r="C28" s="6"/>
      <c r="D28" s="6"/>
    </row>
    <row r="29" spans="2:4" ht="15.75" customHeight="1" x14ac:dyDescent="0.2">
      <c r="B29" s="9"/>
      <c r="C29" s="10" t="s">
        <v>39</v>
      </c>
    </row>
    <row r="30" spans="2:4" ht="15.75" customHeight="1" x14ac:dyDescent="0.2">
      <c r="B30" s="9"/>
      <c r="C30" s="10" t="s">
        <v>40</v>
      </c>
    </row>
  </sheetData>
  <mergeCells count="5">
    <mergeCell ref="B2:D2"/>
    <mergeCell ref="B3:D3"/>
    <mergeCell ref="B15:D15"/>
    <mergeCell ref="B22:D22"/>
    <mergeCell ref="B28:D28"/>
  </mergeCells>
  <pageMargins left="0.75" right="0.75" top="1" bottom="1" header="0.511811023622047" footer="0.511811023622047"/>
  <pageSetup paperSize="9" scale="78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8" sqref="L8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4" customWidth="1"/>
    <col min="4" max="6" width="14" customWidth="1"/>
    <col min="7" max="7" width="4" customWidth="1"/>
    <col min="8" max="10" width="14" customWidth="1"/>
  </cols>
  <sheetData>
    <row r="1" spans="1:10" ht="27.75" customHeight="1" x14ac:dyDescent="0.2">
      <c r="B1" s="5" t="s">
        <v>41</v>
      </c>
      <c r="C1" s="5"/>
      <c r="D1" s="5"/>
      <c r="E1" s="5"/>
      <c r="F1" s="5"/>
      <c r="G1" s="5"/>
      <c r="H1" s="5"/>
      <c r="I1" s="5"/>
      <c r="J1" s="5"/>
    </row>
    <row r="2" spans="1:10" ht="15" customHeight="1" x14ac:dyDescent="0.2">
      <c r="B2" s="4" t="s">
        <v>42</v>
      </c>
      <c r="C2" s="4"/>
      <c r="D2" s="4"/>
      <c r="E2" s="4"/>
      <c r="F2" s="4"/>
      <c r="G2" s="4"/>
      <c r="H2" s="4"/>
      <c r="I2" s="4"/>
      <c r="J2" s="4"/>
    </row>
    <row r="4" spans="1:10" ht="19.5" customHeight="1" x14ac:dyDescent="0.2">
      <c r="A4" s="17"/>
      <c r="B4" s="17" t="s">
        <v>43</v>
      </c>
      <c r="C4" s="17"/>
      <c r="D4" s="17" t="s">
        <v>44</v>
      </c>
      <c r="E4" s="17" t="s">
        <v>45</v>
      </c>
      <c r="F4" s="17" t="s">
        <v>46</v>
      </c>
      <c r="G4" s="17"/>
      <c r="H4" s="17" t="s">
        <v>47</v>
      </c>
      <c r="I4" s="17" t="s">
        <v>48</v>
      </c>
      <c r="J4" s="17" t="s">
        <v>49</v>
      </c>
    </row>
    <row r="5" spans="1:10" ht="16.5" customHeight="1" x14ac:dyDescent="0.2">
      <c r="B5" s="3" t="s">
        <v>50</v>
      </c>
      <c r="C5" s="3"/>
      <c r="D5" s="3"/>
      <c r="E5" s="3"/>
      <c r="F5" s="3"/>
      <c r="G5" s="3"/>
      <c r="H5" s="3"/>
      <c r="I5" s="3"/>
      <c r="J5" s="3"/>
    </row>
    <row r="6" spans="1:10" ht="16.5" customHeight="1" x14ac:dyDescent="0.2">
      <c r="B6" s="18" t="s">
        <v>51</v>
      </c>
      <c r="D6" s="19">
        <v>100.8</v>
      </c>
      <c r="E6" s="19">
        <v>91.4</v>
      </c>
      <c r="F6" s="19">
        <v>95.2</v>
      </c>
      <c r="H6" s="20">
        <f t="shared" ref="H6:I9" si="0">IFERROR((E6-D6)/ABS(D6),"-")</f>
        <v>-9.3253968253968172E-2</v>
      </c>
      <c r="I6" s="20">
        <f t="shared" si="0"/>
        <v>4.1575492341356643E-2</v>
      </c>
      <c r="J6" s="20">
        <f>IFERROR((F6/D6)^(1/2)-1,"-")</f>
        <v>-2.8174684192449839E-2</v>
      </c>
    </row>
    <row r="7" spans="1:10" ht="16.5" customHeight="1" x14ac:dyDescent="0.2">
      <c r="B7" s="21" t="s">
        <v>52</v>
      </c>
      <c r="D7" s="22">
        <v>47.4</v>
      </c>
      <c r="E7" s="22">
        <v>43.5</v>
      </c>
      <c r="F7" s="22">
        <v>49.8</v>
      </c>
      <c r="H7" s="23">
        <f t="shared" si="0"/>
        <v>-8.2278481012658194E-2</v>
      </c>
      <c r="I7" s="23">
        <f t="shared" si="0"/>
        <v>0.14482758620689648</v>
      </c>
      <c r="J7" s="23">
        <f>IFERROR((F7/D7)^(1/2)-1,"-")</f>
        <v>2.5003859208542201E-2</v>
      </c>
    </row>
    <row r="8" spans="1:10" ht="16.5" customHeight="1" x14ac:dyDescent="0.2">
      <c r="B8" s="21" t="s">
        <v>53</v>
      </c>
      <c r="D8" s="22">
        <v>28.8</v>
      </c>
      <c r="E8" s="22">
        <v>26</v>
      </c>
      <c r="F8" s="22">
        <v>27.1</v>
      </c>
      <c r="H8" s="23">
        <f t="shared" si="0"/>
        <v>-9.7222222222222238E-2</v>
      </c>
      <c r="I8" s="23">
        <f t="shared" si="0"/>
        <v>4.2307692307692366E-2</v>
      </c>
      <c r="J8" s="23">
        <f>IFERROR((F8/D8)^(1/2)-1,"-")</f>
        <v>-2.9962772764765333E-2</v>
      </c>
    </row>
    <row r="9" spans="1:10" ht="16.5" customHeight="1" x14ac:dyDescent="0.2">
      <c r="B9" s="21" t="s">
        <v>54</v>
      </c>
      <c r="D9" s="22">
        <v>21.5</v>
      </c>
      <c r="E9" s="22">
        <v>19.5</v>
      </c>
      <c r="F9" s="22">
        <v>16.7</v>
      </c>
      <c r="H9" s="23">
        <f t="shared" si="0"/>
        <v>-9.3023255813953487E-2</v>
      </c>
      <c r="I9" s="23">
        <f t="shared" si="0"/>
        <v>-0.14358974358974363</v>
      </c>
      <c r="J9" s="23">
        <f>IFERROR((F9/D9)^(1/2)-1,"-")</f>
        <v>-0.1186690825538278</v>
      </c>
    </row>
    <row r="10" spans="1:10" ht="16.5" customHeight="1" x14ac:dyDescent="0.2">
      <c r="B10" s="24" t="s">
        <v>55</v>
      </c>
      <c r="D10" s="23">
        <f>D9/D6</f>
        <v>0.21329365079365081</v>
      </c>
      <c r="E10" s="23">
        <f>E9/E6</f>
        <v>0.21334792122538293</v>
      </c>
      <c r="F10" s="23">
        <f>F9/F6</f>
        <v>0.17542016806722688</v>
      </c>
    </row>
    <row r="11" spans="1:10" ht="16.5" customHeight="1" x14ac:dyDescent="0.2">
      <c r="B11" s="21"/>
      <c r="D11" s="23">
        <f>D10/D6</f>
        <v>2.1160084404132024E-3</v>
      </c>
      <c r="E11" s="23">
        <f>E10/E6</f>
        <v>2.334222332881651E-3</v>
      </c>
      <c r="F11" s="23">
        <f>F10/F6</f>
        <v>1.8426488242355764E-3</v>
      </c>
    </row>
    <row r="12" spans="1:10" ht="16.5" customHeight="1" x14ac:dyDescent="0.2">
      <c r="B12" s="3" t="s">
        <v>56</v>
      </c>
      <c r="C12" s="3"/>
      <c r="D12" s="3"/>
      <c r="E12" s="3"/>
      <c r="F12" s="3"/>
      <c r="G12" s="3"/>
      <c r="H12" s="3"/>
      <c r="I12" s="3"/>
      <c r="J12" s="3"/>
    </row>
    <row r="13" spans="1:10" ht="16.5" customHeight="1" x14ac:dyDescent="0.2">
      <c r="B13" s="21" t="s">
        <v>57</v>
      </c>
      <c r="D13" s="22">
        <v>55.4</v>
      </c>
      <c r="E13" s="22">
        <v>46.6</v>
      </c>
      <c r="F13" s="22">
        <v>50.4</v>
      </c>
      <c r="H13" s="23">
        <f>IFERROR((E13-D13)/ABS(D13),"-")</f>
        <v>-0.15884476534296024</v>
      </c>
      <c r="I13" s="23">
        <f>IFERROR((F13-E13)/ABS(E13),"-")</f>
        <v>8.1545064377682344E-2</v>
      </c>
      <c r="J13" s="23">
        <f>IFERROR((F13/D13)^(1/2)-1,"-")</f>
        <v>-4.6193262542787106E-2</v>
      </c>
    </row>
    <row r="14" spans="1:10" ht="16.5" customHeight="1" x14ac:dyDescent="0.2">
      <c r="B14" s="24" t="s">
        <v>58</v>
      </c>
      <c r="D14" s="23">
        <f>D13/D6</f>
        <v>0.54960317460317465</v>
      </c>
      <c r="E14" s="23">
        <f>E13/E6</f>
        <v>0.50984682713347917</v>
      </c>
      <c r="F14" s="23">
        <f>F13/F6</f>
        <v>0.52941176470588236</v>
      </c>
    </row>
    <row r="15" spans="1:10" ht="16.5" customHeight="1" x14ac:dyDescent="0.2">
      <c r="B15" s="21" t="s">
        <v>59</v>
      </c>
      <c r="D15" s="22">
        <v>12.1</v>
      </c>
      <c r="E15" s="22">
        <v>10.9</v>
      </c>
      <c r="F15" s="22">
        <v>11.4</v>
      </c>
      <c r="H15" s="23">
        <f>IFERROR((E15-D15)/ABS(D15),"-")</f>
        <v>-9.9173553719008212E-2</v>
      </c>
      <c r="I15" s="23">
        <f>IFERROR((F15-E15)/ABS(E15),"-")</f>
        <v>4.5871559633027519E-2</v>
      </c>
      <c r="J15" s="23">
        <f>IFERROR((F15/D15)^(1/2)-1,"-")</f>
        <v>-2.935652254260801E-2</v>
      </c>
    </row>
    <row r="16" spans="1:10" ht="16.5" customHeight="1" x14ac:dyDescent="0.2">
      <c r="B16" s="24" t="s">
        <v>60</v>
      </c>
      <c r="D16" s="23">
        <f>D15/D6</f>
        <v>0.12003968253968254</v>
      </c>
      <c r="E16" s="23">
        <f>E15/E6</f>
        <v>0.11925601750547045</v>
      </c>
      <c r="F16" s="23">
        <f>F15/F6</f>
        <v>0.11974789915966387</v>
      </c>
    </row>
    <row r="17" spans="2:10" ht="16.5" customHeight="1" x14ac:dyDescent="0.2">
      <c r="B17" s="21" t="s">
        <v>61</v>
      </c>
      <c r="D17" s="22">
        <v>18.7</v>
      </c>
      <c r="E17" s="22">
        <v>25</v>
      </c>
      <c r="F17" s="22">
        <v>23.3</v>
      </c>
      <c r="H17" s="23">
        <f>IFERROR((E17-D17)/ABS(D17),"-")</f>
        <v>0.3368983957219252</v>
      </c>
      <c r="I17" s="23">
        <f>IFERROR((F17-E17)/ABS(E17),"-")</f>
        <v>-6.7999999999999977E-2</v>
      </c>
      <c r="J17" s="23">
        <f>IFERROR((F17/D17)^(1/2)-1,"-")</f>
        <v>0.11623891027540978</v>
      </c>
    </row>
    <row r="18" spans="2:10" ht="16.5" customHeight="1" x14ac:dyDescent="0.2">
      <c r="B18" s="24" t="s">
        <v>60</v>
      </c>
      <c r="D18" s="23">
        <f>D17/D6</f>
        <v>0.18551587301587302</v>
      </c>
      <c r="E18" s="23">
        <f>E17/E6</f>
        <v>0.2735229759299781</v>
      </c>
      <c r="F18" s="23">
        <f>F17/F6</f>
        <v>0.24474789915966386</v>
      </c>
    </row>
    <row r="19" spans="2:10" ht="16.5" customHeight="1" x14ac:dyDescent="0.2">
      <c r="B19" s="21"/>
      <c r="D19" s="23">
        <f>D18/D6</f>
        <v>1.8404352481733435E-3</v>
      </c>
      <c r="E19" s="23">
        <f>E18/E6</f>
        <v>2.9925927344636553E-3</v>
      </c>
      <c r="F19" s="23">
        <f>F18/F6</f>
        <v>2.5708812936939482E-3</v>
      </c>
    </row>
    <row r="20" spans="2:10" ht="16.5" customHeight="1" x14ac:dyDescent="0.2">
      <c r="B20" s="3" t="s">
        <v>62</v>
      </c>
      <c r="C20" s="3"/>
      <c r="D20" s="3"/>
      <c r="E20" s="3"/>
      <c r="F20" s="3"/>
      <c r="G20" s="3"/>
      <c r="H20" s="3"/>
      <c r="I20" s="3"/>
      <c r="J20" s="3"/>
    </row>
    <row r="21" spans="2:10" ht="16.5" customHeight="1" x14ac:dyDescent="0.2">
      <c r="B21" s="18" t="s">
        <v>63</v>
      </c>
      <c r="D21" s="19">
        <v>24.6</v>
      </c>
      <c r="E21" s="19">
        <v>10.7</v>
      </c>
      <c r="F21" s="19">
        <v>16.3</v>
      </c>
      <c r="H21" s="20">
        <f>IFERROR((E21-D21)/ABS(D21),"-")</f>
        <v>-0.56504065040650409</v>
      </c>
      <c r="I21" s="20">
        <f>IFERROR((F21-E21)/ABS(E21),"-")</f>
        <v>0.52336448598130858</v>
      </c>
      <c r="J21" s="20">
        <f>IFERROR((F21/D21)^(1/2)-1,"-")</f>
        <v>-0.18599654422339207</v>
      </c>
    </row>
    <row r="22" spans="2:10" ht="16.5" customHeight="1" x14ac:dyDescent="0.2">
      <c r="B22" s="24" t="s">
        <v>64</v>
      </c>
      <c r="D22" s="23">
        <f>D21/D6</f>
        <v>0.24404761904761907</v>
      </c>
      <c r="E22" s="23">
        <f>E21/E6</f>
        <v>0.11706783369803062</v>
      </c>
      <c r="F22" s="23">
        <f>F21/F6</f>
        <v>0.17121848739495799</v>
      </c>
    </row>
    <row r="23" spans="2:10" ht="16.5" customHeight="1" x14ac:dyDescent="0.2">
      <c r="B23" s="21" t="s">
        <v>65</v>
      </c>
      <c r="D23" s="22">
        <v>10.8</v>
      </c>
      <c r="E23" s="22">
        <v>10.7</v>
      </c>
      <c r="F23" s="22">
        <v>10.8</v>
      </c>
      <c r="H23" s="23">
        <f>IFERROR((E23-D23)/ABS(D23),"-")</f>
        <v>-9.2592592592593906E-3</v>
      </c>
      <c r="I23" s="23">
        <f>IFERROR((F23-E23)/ABS(E23),"-")</f>
        <v>9.3457943925234974E-3</v>
      </c>
      <c r="J23" s="23">
        <f>IFERROR((F23/D23)^(1/2)-1,"-")</f>
        <v>0</v>
      </c>
    </row>
    <row r="24" spans="2:10" ht="16.5" customHeight="1" x14ac:dyDescent="0.2">
      <c r="B24" s="21"/>
      <c r="D24" s="23">
        <f>D23/D6</f>
        <v>0.10714285714285715</v>
      </c>
      <c r="E24" s="23">
        <f>E23/E6</f>
        <v>0.11706783369803062</v>
      </c>
      <c r="F24" s="23">
        <f>F23/F6</f>
        <v>0.1134453781512605</v>
      </c>
    </row>
    <row r="25" spans="2:10" ht="16.5" customHeight="1" x14ac:dyDescent="0.2">
      <c r="B25" s="3" t="s">
        <v>66</v>
      </c>
      <c r="C25" s="3"/>
      <c r="D25" s="3"/>
      <c r="E25" s="3"/>
      <c r="F25" s="3"/>
      <c r="G25" s="3"/>
      <c r="H25" s="3"/>
      <c r="I25" s="3"/>
      <c r="J25" s="3"/>
    </row>
    <row r="26" spans="2:10" ht="16.5" customHeight="1" x14ac:dyDescent="0.2">
      <c r="B26" s="18" t="s">
        <v>67</v>
      </c>
      <c r="D26" s="19">
        <v>13.8</v>
      </c>
      <c r="E26" s="19">
        <v>8.9999999999999993E-3</v>
      </c>
      <c r="F26" s="19">
        <v>5.5</v>
      </c>
      <c r="H26" s="20">
        <f>IFERROR((E26-D26)/ABS(D26),"-")</f>
        <v>-0.99934782608695649</v>
      </c>
      <c r="I26" s="20">
        <f>IFERROR((F26-E26)/ABS(E26),"-")</f>
        <v>610.11111111111109</v>
      </c>
      <c r="J26" s="20">
        <f>IFERROR((F26/D26)^(1/2)-1,"-")</f>
        <v>-0.36869126044566658</v>
      </c>
    </row>
    <row r="27" spans="2:10" ht="16.5" customHeight="1" x14ac:dyDescent="0.2">
      <c r="B27" s="24" t="s">
        <v>68</v>
      </c>
      <c r="D27" s="23">
        <f>D26/D6</f>
        <v>0.13690476190476192</v>
      </c>
      <c r="E27" s="23">
        <f>E26/E6</f>
        <v>9.8468271334792111E-5</v>
      </c>
      <c r="F27" s="23">
        <f>F26/F6</f>
        <v>5.7773109243697475E-2</v>
      </c>
    </row>
    <row r="28" spans="2:10" ht="16.5" customHeight="1" x14ac:dyDescent="0.2">
      <c r="B28" s="21"/>
      <c r="D28" s="23">
        <f>D27/D6</f>
        <v>1.3581821617535904E-3</v>
      </c>
      <c r="E28" s="23">
        <f>E27/E6</f>
        <v>1.0773333844069159E-6</v>
      </c>
      <c r="F28" s="23">
        <f>F27/F6</f>
        <v>6.0686039121530958E-4</v>
      </c>
    </row>
    <row r="29" spans="2:10" ht="16.5" customHeight="1" x14ac:dyDescent="0.2">
      <c r="B29" s="3" t="s">
        <v>69</v>
      </c>
      <c r="C29" s="3"/>
      <c r="D29" s="3"/>
      <c r="E29" s="3"/>
      <c r="F29" s="3"/>
      <c r="G29" s="3"/>
      <c r="H29" s="3"/>
      <c r="I29" s="3"/>
      <c r="J29" s="3"/>
    </row>
    <row r="30" spans="2:10" ht="16.5" customHeight="1" x14ac:dyDescent="0.2">
      <c r="B30" s="21" t="s">
        <v>70</v>
      </c>
      <c r="D30" s="22">
        <v>0.9</v>
      </c>
      <c r="E30" s="22">
        <v>-0.76</v>
      </c>
      <c r="F30" s="22">
        <v>-0.5</v>
      </c>
      <c r="H30" s="23">
        <f t="shared" ref="H30:I33" si="1">IFERROR((E30-D30)/ABS(D30),"-")</f>
        <v>-1.8444444444444446</v>
      </c>
      <c r="I30" s="23">
        <f t="shared" si="1"/>
        <v>0.34210526315789475</v>
      </c>
      <c r="J30" s="23" t="str">
        <f>IFERROR((F30/D30)^(1/2)-1,"-")</f>
        <v>-</v>
      </c>
    </row>
    <row r="31" spans="2:10" ht="16.5" customHeight="1" x14ac:dyDescent="0.2">
      <c r="B31" s="21" t="s">
        <v>71</v>
      </c>
      <c r="D31" s="22">
        <v>0</v>
      </c>
      <c r="E31" s="22">
        <v>0.57999999999999996</v>
      </c>
      <c r="F31" s="22">
        <v>0</v>
      </c>
      <c r="H31" s="23" t="str">
        <f t="shared" si="1"/>
        <v>-</v>
      </c>
      <c r="I31" s="23">
        <f t="shared" si="1"/>
        <v>-1</v>
      </c>
      <c r="J31" s="23" t="str">
        <f>IFERROR((F31/D31)^(1/2)-1,"-")</f>
        <v>-</v>
      </c>
    </row>
    <row r="32" spans="2:10" ht="16.5" customHeight="1" x14ac:dyDescent="0.2">
      <c r="B32" s="21" t="s">
        <v>72</v>
      </c>
      <c r="D32" s="22">
        <v>3.2</v>
      </c>
      <c r="E32" s="22">
        <v>0.13</v>
      </c>
      <c r="F32" s="22">
        <v>1.8</v>
      </c>
      <c r="H32" s="23">
        <f t="shared" si="1"/>
        <v>-0.95937500000000009</v>
      </c>
      <c r="I32" s="23">
        <f t="shared" si="1"/>
        <v>12.846153846153845</v>
      </c>
      <c r="J32" s="23">
        <f>IFERROR((F32/D32)^(1/2)-1,"-")</f>
        <v>-0.25</v>
      </c>
    </row>
    <row r="33" spans="2:10" ht="16.5" customHeight="1" x14ac:dyDescent="0.2">
      <c r="B33" s="18" t="s">
        <v>73</v>
      </c>
      <c r="D33" s="19">
        <v>9.6999999999999993</v>
      </c>
      <c r="E33" s="19">
        <v>-0.3</v>
      </c>
      <c r="F33" s="19">
        <v>3.5</v>
      </c>
      <c r="H33" s="20">
        <f t="shared" si="1"/>
        <v>-1.0309278350515465</v>
      </c>
      <c r="I33" s="20">
        <f t="shared" si="1"/>
        <v>12.666666666666666</v>
      </c>
      <c r="J33" s="20">
        <f>IFERROR((F33/D33)^(1/2)-1,"-")</f>
        <v>-0.39931310796052721</v>
      </c>
    </row>
    <row r="34" spans="2:10" ht="16.5" customHeight="1" x14ac:dyDescent="0.2">
      <c r="B34" s="24" t="s">
        <v>74</v>
      </c>
      <c r="D34" s="23">
        <f>D33/D6</f>
        <v>9.6230158730158721E-2</v>
      </c>
      <c r="E34" s="23">
        <f>E33/E6</f>
        <v>-3.2822757111597373E-3</v>
      </c>
      <c r="F34" s="23">
        <f>F33/F6</f>
        <v>3.6764705882352942E-2</v>
      </c>
    </row>
    <row r="35" spans="2:10" ht="16.5" customHeight="1" x14ac:dyDescent="0.2">
      <c r="B35" s="21"/>
      <c r="D35" s="23">
        <f>D34/D6</f>
        <v>9.54664273116654E-4</v>
      </c>
      <c r="E35" s="23">
        <f>E34/E6</f>
        <v>-3.5911112813563865E-5</v>
      </c>
      <c r="F35" s="23">
        <f>F34/F6</f>
        <v>3.8618388531883339E-4</v>
      </c>
    </row>
    <row r="36" spans="2:10" ht="16.5" customHeight="1" x14ac:dyDescent="0.2">
      <c r="B36" s="3" t="s">
        <v>75</v>
      </c>
      <c r="C36" s="3"/>
      <c r="D36" s="3"/>
      <c r="E36" s="3"/>
      <c r="F36" s="3"/>
      <c r="G36" s="3"/>
      <c r="H36" s="3"/>
      <c r="I36" s="3"/>
      <c r="J36" s="3"/>
    </row>
    <row r="37" spans="2:10" ht="16.5" customHeight="1" x14ac:dyDescent="0.2">
      <c r="B37" s="21" t="s">
        <v>76</v>
      </c>
      <c r="D37" s="22">
        <v>22</v>
      </c>
      <c r="E37" s="22">
        <v>16.100000000000001</v>
      </c>
      <c r="F37" s="22">
        <v>12.5</v>
      </c>
      <c r="H37" s="23">
        <f t="shared" ref="H37:I39" si="2">IFERROR((E37-D37)/ABS(D37),"-")</f>
        <v>-0.26818181818181813</v>
      </c>
      <c r="I37" s="23">
        <f t="shared" si="2"/>
        <v>-0.22360248447204975</v>
      </c>
      <c r="J37" s="23">
        <f>IFERROR((F37/D37)^(1/2)-1,"-")</f>
        <v>-0.24622163855559087</v>
      </c>
    </row>
    <row r="38" spans="2:10" ht="16.5" customHeight="1" x14ac:dyDescent="0.2">
      <c r="B38" s="21" t="s">
        <v>77</v>
      </c>
      <c r="D38" s="22">
        <v>-8</v>
      </c>
      <c r="E38" s="22">
        <v>-8</v>
      </c>
      <c r="F38" s="22">
        <v>-5</v>
      </c>
      <c r="H38" s="23">
        <f t="shared" si="2"/>
        <v>0</v>
      </c>
      <c r="I38" s="23">
        <f t="shared" si="2"/>
        <v>0.375</v>
      </c>
      <c r="J38" s="23">
        <f>IFERROR((F38/D38)^(1/2)-1,"-")</f>
        <v>-0.20943058495790512</v>
      </c>
    </row>
    <row r="39" spans="2:10" ht="16.5" customHeight="1" x14ac:dyDescent="0.2">
      <c r="B39" s="18" t="s">
        <v>78</v>
      </c>
      <c r="D39" s="25">
        <f>D37+D38</f>
        <v>14</v>
      </c>
      <c r="E39" s="25">
        <f>E37+E38</f>
        <v>8.1000000000000014</v>
      </c>
      <c r="F39" s="25">
        <f>F37+F38</f>
        <v>7.5</v>
      </c>
      <c r="H39" s="26">
        <f t="shared" si="2"/>
        <v>-0.42142857142857132</v>
      </c>
      <c r="I39" s="26">
        <f t="shared" si="2"/>
        <v>-7.4074074074074236E-2</v>
      </c>
      <c r="J39" s="26">
        <f>IFERROR((F39/D39)^(1/2)-1,"-")</f>
        <v>-0.2680749452886001</v>
      </c>
    </row>
  </sheetData>
  <mergeCells count="8">
    <mergeCell ref="B25:J25"/>
    <mergeCell ref="B29:J29"/>
    <mergeCell ref="B36:J36"/>
    <mergeCell ref="B1:J1"/>
    <mergeCell ref="B2:J2"/>
    <mergeCell ref="B5:J5"/>
    <mergeCell ref="B12:J12"/>
    <mergeCell ref="B20:J20"/>
  </mergeCells>
  <pageMargins left="0.75" right="0.75" top="1" bottom="1" header="0.511811023622047" footer="0.511811023622047"/>
  <pageSetup paperSize="9" scale="60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9" sqref="L19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4" customWidth="1"/>
    <col min="4" max="6" width="16" customWidth="1"/>
    <col min="7" max="7" width="4" customWidth="1"/>
    <col min="8" max="8" width="30" customWidth="1"/>
  </cols>
  <sheetData>
    <row r="1" spans="1:8" ht="19" x14ac:dyDescent="0.2">
      <c r="B1" s="5" t="s">
        <v>79</v>
      </c>
      <c r="C1" s="5"/>
      <c r="D1" s="5"/>
      <c r="E1" s="5"/>
      <c r="F1" s="5"/>
      <c r="G1" s="5"/>
      <c r="H1" s="5"/>
    </row>
    <row r="2" spans="1:8" x14ac:dyDescent="0.2">
      <c r="B2" s="4" t="s">
        <v>80</v>
      </c>
      <c r="C2" s="4"/>
      <c r="D2" s="4"/>
      <c r="E2" s="4"/>
      <c r="F2" s="4"/>
      <c r="G2" s="4"/>
      <c r="H2" s="4"/>
    </row>
    <row r="4" spans="1:8" x14ac:dyDescent="0.2">
      <c r="A4" s="17"/>
      <c r="B4" s="17" t="s">
        <v>81</v>
      </c>
      <c r="C4" s="17"/>
      <c r="D4" s="17" t="s">
        <v>44</v>
      </c>
      <c r="E4" s="17" t="s">
        <v>45</v>
      </c>
      <c r="F4" s="17" t="s">
        <v>46</v>
      </c>
      <c r="G4" s="17"/>
      <c r="H4" s="27" t="s">
        <v>82</v>
      </c>
    </row>
    <row r="5" spans="1:8" x14ac:dyDescent="0.2">
      <c r="B5" s="3" t="s">
        <v>83</v>
      </c>
      <c r="C5" s="3"/>
      <c r="D5" s="3"/>
      <c r="E5" s="3"/>
      <c r="F5" s="3"/>
      <c r="G5" s="3"/>
      <c r="H5" s="3"/>
    </row>
    <row r="6" spans="1:8" ht="26" x14ac:dyDescent="0.2">
      <c r="B6" s="18" t="s">
        <v>84</v>
      </c>
      <c r="D6" s="19">
        <v>24.6</v>
      </c>
      <c r="E6" s="19">
        <v>10.7</v>
      </c>
      <c r="F6" s="19">
        <v>16.3</v>
      </c>
      <c r="H6" s="28" t="s">
        <v>85</v>
      </c>
    </row>
    <row r="7" spans="1:8" x14ac:dyDescent="0.2">
      <c r="B7" s="21"/>
      <c r="D7" s="29"/>
      <c r="E7" s="29"/>
      <c r="F7" s="29"/>
      <c r="H7" s="28"/>
    </row>
    <row r="8" spans="1:8" x14ac:dyDescent="0.2">
      <c r="B8" s="3" t="s">
        <v>86</v>
      </c>
      <c r="C8" s="3"/>
      <c r="D8" s="3"/>
      <c r="E8" s="3"/>
      <c r="F8" s="3"/>
      <c r="G8" s="3"/>
      <c r="H8" s="3"/>
    </row>
    <row r="9" spans="1:8" ht="39" x14ac:dyDescent="0.2">
      <c r="B9" s="21" t="s">
        <v>87</v>
      </c>
      <c r="D9" s="22">
        <v>0</v>
      </c>
      <c r="E9" s="22">
        <v>-0.57999999999999996</v>
      </c>
      <c r="F9" s="22">
        <v>0</v>
      </c>
      <c r="H9" s="28" t="s">
        <v>88</v>
      </c>
    </row>
    <row r="10" spans="1:8" ht="52" x14ac:dyDescent="0.2">
      <c r="B10" s="21" t="s">
        <v>89</v>
      </c>
      <c r="D10" s="30">
        <v>0</v>
      </c>
      <c r="E10" s="30">
        <v>1.5</v>
      </c>
      <c r="F10" s="30">
        <v>0</v>
      </c>
      <c r="H10" s="28" t="s">
        <v>90</v>
      </c>
    </row>
    <row r="11" spans="1:8" ht="26" x14ac:dyDescent="0.2">
      <c r="B11" s="21" t="s">
        <v>91</v>
      </c>
      <c r="D11" s="22">
        <v>0</v>
      </c>
      <c r="E11" s="22">
        <v>0</v>
      </c>
      <c r="F11" s="22">
        <v>0</v>
      </c>
      <c r="H11" s="28" t="s">
        <v>92</v>
      </c>
    </row>
    <row r="12" spans="1:8" ht="39" x14ac:dyDescent="0.2">
      <c r="B12" s="21" t="s">
        <v>93</v>
      </c>
      <c r="D12" s="30">
        <v>0</v>
      </c>
      <c r="E12" s="30">
        <v>0</v>
      </c>
      <c r="F12" s="30">
        <v>0</v>
      </c>
      <c r="H12" s="28" t="s">
        <v>94</v>
      </c>
    </row>
    <row r="13" spans="1:8" x14ac:dyDescent="0.2">
      <c r="B13" s="18" t="s">
        <v>95</v>
      </c>
      <c r="D13" s="25">
        <f>SUM(D8:D12)</f>
        <v>0</v>
      </c>
      <c r="E13" s="25">
        <f>SUM(E8:E12)</f>
        <v>0.92</v>
      </c>
      <c r="F13" s="25">
        <f>SUM(F8:F12)</f>
        <v>0</v>
      </c>
      <c r="H13" s="28" t="s">
        <v>96</v>
      </c>
    </row>
    <row r="14" spans="1:8" x14ac:dyDescent="0.2">
      <c r="B14" s="21"/>
      <c r="D14" s="29"/>
      <c r="E14" s="29"/>
      <c r="F14" s="29"/>
      <c r="H14" s="28"/>
    </row>
    <row r="15" spans="1:8" x14ac:dyDescent="0.2">
      <c r="B15" s="3" t="s">
        <v>97</v>
      </c>
      <c r="C15" s="3"/>
      <c r="D15" s="3"/>
      <c r="E15" s="3"/>
      <c r="F15" s="3"/>
      <c r="G15" s="3"/>
      <c r="H15" s="3"/>
    </row>
    <row r="16" spans="1:8" x14ac:dyDescent="0.2">
      <c r="B16" s="18" t="s">
        <v>98</v>
      </c>
      <c r="D16" s="25">
        <f>D6+D13</f>
        <v>24.6</v>
      </c>
      <c r="E16" s="25">
        <f>E6+E13</f>
        <v>11.62</v>
      </c>
      <c r="F16" s="25">
        <f>F6+F13</f>
        <v>16.3</v>
      </c>
      <c r="H16" s="28" t="s">
        <v>99</v>
      </c>
    </row>
    <row r="17" spans="2:8" x14ac:dyDescent="0.2">
      <c r="B17" s="21" t="s">
        <v>100</v>
      </c>
      <c r="D17" s="23">
        <f>D16/100.8</f>
        <v>0.24404761904761907</v>
      </c>
      <c r="E17" s="23">
        <f>E16/91.4</f>
        <v>0.12713347921225382</v>
      </c>
      <c r="F17" s="23">
        <f>F16/95.2</f>
        <v>0.17121848739495799</v>
      </c>
      <c r="H17" s="28" t="s">
        <v>101</v>
      </c>
    </row>
    <row r="18" spans="2:8" x14ac:dyDescent="0.2">
      <c r="B18" s="21"/>
      <c r="D18" s="29"/>
      <c r="E18" s="29"/>
      <c r="F18" s="29"/>
      <c r="H18" s="28"/>
    </row>
    <row r="19" spans="2:8" x14ac:dyDescent="0.2">
      <c r="B19" s="3" t="s">
        <v>102</v>
      </c>
      <c r="C19" s="3"/>
      <c r="D19" s="3"/>
      <c r="E19" s="3"/>
      <c r="F19" s="3"/>
      <c r="G19" s="3"/>
      <c r="H19" s="3"/>
    </row>
    <row r="20" spans="2:8" x14ac:dyDescent="0.2">
      <c r="B20" s="21" t="s">
        <v>103</v>
      </c>
      <c r="D20" s="31">
        <f>D16-D6</f>
        <v>0</v>
      </c>
      <c r="E20" s="31">
        <f>E16-E6</f>
        <v>0.91999999999999993</v>
      </c>
      <c r="F20" s="31">
        <f>F16-F6</f>
        <v>0</v>
      </c>
      <c r="H20" s="28" t="s">
        <v>104</v>
      </c>
    </row>
    <row r="21" spans="2:8" x14ac:dyDescent="0.2">
      <c r="B21" s="18" t="s">
        <v>105</v>
      </c>
      <c r="D21" s="2"/>
      <c r="E21" s="2"/>
      <c r="F21" s="2"/>
      <c r="H21" s="28" t="s">
        <v>106</v>
      </c>
    </row>
    <row r="22" spans="2:8" x14ac:dyDescent="0.2">
      <c r="B22" s="21" t="s">
        <v>107</v>
      </c>
      <c r="D22" s="1"/>
      <c r="E22" s="1"/>
      <c r="F22" s="1"/>
      <c r="H22" s="28" t="s">
        <v>108</v>
      </c>
    </row>
  </sheetData>
  <mergeCells count="8">
    <mergeCell ref="B19:H19"/>
    <mergeCell ref="D21:F21"/>
    <mergeCell ref="D22:F22"/>
    <mergeCell ref="B1:H1"/>
    <mergeCell ref="B2:H2"/>
    <mergeCell ref="B5:H5"/>
    <mergeCell ref="B8:H8"/>
    <mergeCell ref="B15:H15"/>
  </mergeCells>
  <pageMargins left="0.75" right="0.75" top="1" bottom="1" header="0.511811023622047" footer="0.511811023622047"/>
  <pageSetup paperSize="9" scale="62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1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4" customWidth="1"/>
    <col min="4" max="6" width="16" customWidth="1"/>
    <col min="7" max="7" width="4" customWidth="1"/>
    <col min="8" max="8" width="28" customWidth="1"/>
  </cols>
  <sheetData>
    <row r="1" spans="1:8" ht="19" x14ac:dyDescent="0.2">
      <c r="B1" s="5" t="s">
        <v>109</v>
      </c>
      <c r="C1" s="5"/>
      <c r="D1" s="5"/>
      <c r="E1" s="5"/>
      <c r="F1" s="5"/>
      <c r="G1" s="5"/>
      <c r="H1" s="5"/>
    </row>
    <row r="2" spans="1:8" x14ac:dyDescent="0.2">
      <c r="B2" s="4" t="s">
        <v>110</v>
      </c>
      <c r="C2" s="4"/>
      <c r="D2" s="4"/>
      <c r="E2" s="4"/>
      <c r="F2" s="4"/>
      <c r="G2" s="4"/>
      <c r="H2" s="4"/>
    </row>
    <row r="4" spans="1:8" x14ac:dyDescent="0.2">
      <c r="A4" s="17"/>
      <c r="B4" s="17" t="s">
        <v>81</v>
      </c>
      <c r="C4" s="17"/>
      <c r="D4" s="17" t="s">
        <v>44</v>
      </c>
      <c r="E4" s="17" t="s">
        <v>45</v>
      </c>
      <c r="F4" s="17" t="s">
        <v>46</v>
      </c>
      <c r="G4" s="17"/>
      <c r="H4" s="27" t="s">
        <v>111</v>
      </c>
    </row>
    <row r="5" spans="1:8" x14ac:dyDescent="0.2">
      <c r="B5" s="3" t="s">
        <v>112</v>
      </c>
      <c r="C5" s="3"/>
      <c r="D5" s="3"/>
      <c r="E5" s="3"/>
      <c r="F5" s="3"/>
      <c r="G5" s="3"/>
      <c r="H5" s="3"/>
    </row>
    <row r="6" spans="1:8" x14ac:dyDescent="0.2">
      <c r="B6" s="21" t="s">
        <v>113</v>
      </c>
      <c r="D6" s="32">
        <v>100.8</v>
      </c>
      <c r="E6" s="32">
        <v>91.4</v>
      </c>
      <c r="F6" s="32">
        <v>95.2</v>
      </c>
      <c r="H6" s="28" t="s">
        <v>114</v>
      </c>
    </row>
    <row r="7" spans="1:8" x14ac:dyDescent="0.2">
      <c r="B7" s="21" t="s">
        <v>115</v>
      </c>
      <c r="D7" s="33">
        <f>D6*1.2</f>
        <v>120.96</v>
      </c>
      <c r="E7" s="33">
        <f>E6*1.2</f>
        <v>109.68</v>
      </c>
      <c r="F7" s="33">
        <f>F6*1.2</f>
        <v>114.24</v>
      </c>
      <c r="H7" s="28" t="s">
        <v>116</v>
      </c>
    </row>
    <row r="8" spans="1:8" x14ac:dyDescent="0.2">
      <c r="B8" s="21" t="s">
        <v>117</v>
      </c>
      <c r="D8" s="32">
        <v>45.4</v>
      </c>
      <c r="E8" s="32">
        <v>44.8</v>
      </c>
      <c r="F8" s="32">
        <v>44.8</v>
      </c>
      <c r="H8" s="28" t="s">
        <v>118</v>
      </c>
    </row>
    <row r="9" spans="1:8" x14ac:dyDescent="0.2">
      <c r="B9" s="21" t="s">
        <v>119</v>
      </c>
      <c r="D9" s="33">
        <f>D8*1.2</f>
        <v>54.48</v>
      </c>
      <c r="E9" s="33">
        <f>E8*1.2</f>
        <v>53.76</v>
      </c>
      <c r="F9" s="33">
        <f>F8*1.2</f>
        <v>53.76</v>
      </c>
      <c r="H9" s="28" t="s">
        <v>120</v>
      </c>
    </row>
    <row r="11" spans="1:8" x14ac:dyDescent="0.2">
      <c r="B11" s="3" t="s">
        <v>121</v>
      </c>
      <c r="C11" s="3"/>
      <c r="D11" s="3"/>
      <c r="E11" s="3"/>
      <c r="F11" s="3"/>
      <c r="G11" s="3"/>
      <c r="H11" s="3"/>
    </row>
    <row r="12" spans="1:8" ht="26" x14ac:dyDescent="0.2">
      <c r="B12" s="21" t="s">
        <v>122</v>
      </c>
      <c r="D12" s="32">
        <v>16</v>
      </c>
      <c r="E12" s="32">
        <v>15.2</v>
      </c>
      <c r="F12" s="32">
        <v>14.8</v>
      </c>
      <c r="H12" s="28" t="s">
        <v>123</v>
      </c>
    </row>
    <row r="13" spans="1:8" ht="26" x14ac:dyDescent="0.2">
      <c r="B13" s="21" t="s">
        <v>124</v>
      </c>
      <c r="D13" s="32">
        <v>15.5</v>
      </c>
      <c r="E13" s="32">
        <v>14.8</v>
      </c>
      <c r="F13" s="32">
        <v>16.2</v>
      </c>
      <c r="H13" s="28" t="s">
        <v>125</v>
      </c>
    </row>
    <row r="14" spans="1:8" x14ac:dyDescent="0.2">
      <c r="B14" s="21" t="s">
        <v>126</v>
      </c>
      <c r="D14" s="32">
        <v>8.1999999999999993</v>
      </c>
      <c r="E14" s="32">
        <v>8.5</v>
      </c>
      <c r="F14" s="32">
        <v>8</v>
      </c>
      <c r="H14" s="28" t="s">
        <v>127</v>
      </c>
    </row>
    <row r="16" spans="1:8" x14ac:dyDescent="0.2">
      <c r="B16" s="3" t="s">
        <v>128</v>
      </c>
      <c r="C16" s="3"/>
      <c r="D16" s="3"/>
      <c r="E16" s="3"/>
      <c r="F16" s="3"/>
      <c r="G16" s="3"/>
      <c r="H16" s="3"/>
    </row>
    <row r="17" spans="2:8" x14ac:dyDescent="0.2">
      <c r="B17" s="21" t="s">
        <v>129</v>
      </c>
      <c r="D17" s="34">
        <f t="shared" ref="D17:F19" si="0">IFERROR(D12/D7*365,0)</f>
        <v>48.280423280423285</v>
      </c>
      <c r="E17" s="34">
        <f t="shared" si="0"/>
        <v>50.583515681983947</v>
      </c>
      <c r="F17" s="34">
        <f t="shared" si="0"/>
        <v>47.286414565826334</v>
      </c>
      <c r="H17" s="28" t="s">
        <v>130</v>
      </c>
    </row>
    <row r="18" spans="2:8" x14ac:dyDescent="0.2">
      <c r="B18" s="21" t="s">
        <v>131</v>
      </c>
      <c r="D18" s="34">
        <f t="shared" si="0"/>
        <v>124.61453744493392</v>
      </c>
      <c r="E18" s="34">
        <f t="shared" si="0"/>
        <v>120.58035714285717</v>
      </c>
      <c r="F18" s="34">
        <f t="shared" si="0"/>
        <v>131.98660714285714</v>
      </c>
      <c r="H18" s="28" t="s">
        <v>132</v>
      </c>
    </row>
    <row r="19" spans="2:8" x14ac:dyDescent="0.2">
      <c r="B19" s="21" t="s">
        <v>133</v>
      </c>
      <c r="D19" s="34">
        <f t="shared" si="0"/>
        <v>54.937591776798826</v>
      </c>
      <c r="E19" s="34">
        <f t="shared" si="0"/>
        <v>57.710193452380949</v>
      </c>
      <c r="F19" s="34">
        <f t="shared" si="0"/>
        <v>54.31547619047619</v>
      </c>
      <c r="H19" s="28" t="s">
        <v>134</v>
      </c>
    </row>
    <row r="21" spans="2:8" x14ac:dyDescent="0.2">
      <c r="B21" s="3" t="s">
        <v>135</v>
      </c>
      <c r="C21" s="3"/>
      <c r="D21" s="3"/>
      <c r="E21" s="3"/>
      <c r="F21" s="3"/>
      <c r="G21" s="3"/>
      <c r="H21" s="3"/>
    </row>
    <row r="22" spans="2:8" x14ac:dyDescent="0.2">
      <c r="B22" s="18" t="s">
        <v>136</v>
      </c>
      <c r="D22" s="25">
        <f>D12+D13-D14</f>
        <v>23.3</v>
      </c>
      <c r="E22" s="25">
        <f>E12+E13-E14</f>
        <v>21.5</v>
      </c>
      <c r="F22" s="25">
        <f>F12+F13-F14</f>
        <v>23</v>
      </c>
      <c r="H22" s="28" t="s">
        <v>137</v>
      </c>
    </row>
    <row r="24" spans="2:8" x14ac:dyDescent="0.2">
      <c r="B24" s="21" t="s">
        <v>138</v>
      </c>
      <c r="D24" s="34">
        <f>D17+D18-D19</f>
        <v>117.95736894855838</v>
      </c>
      <c r="E24" s="34">
        <f>E17+E18-E19</f>
        <v>113.45367937246017</v>
      </c>
      <c r="F24" s="34">
        <f>F17+F18-F19</f>
        <v>124.95754551820728</v>
      </c>
      <c r="H24" s="28" t="s">
        <v>139</v>
      </c>
    </row>
    <row r="25" spans="2:8" x14ac:dyDescent="0.2">
      <c r="B25" s="18" t="s">
        <v>140</v>
      </c>
      <c r="D25" s="25">
        <f>D24/365*D6</f>
        <v>32.575624082232011</v>
      </c>
      <c r="E25" s="25">
        <f>E24/365*E6</f>
        <v>28.410044642857152</v>
      </c>
      <c r="F25" s="25">
        <f>F24/365*F6</f>
        <v>32.591666666666669</v>
      </c>
      <c r="H25" s="28" t="s">
        <v>141</v>
      </c>
    </row>
    <row r="26" spans="2:8" x14ac:dyDescent="0.2">
      <c r="B26" s="21" t="s">
        <v>142</v>
      </c>
      <c r="D26" s="35">
        <f>IFERROR(D25/D6,0)</f>
        <v>0.32317087383166676</v>
      </c>
      <c r="E26" s="35">
        <f>IFERROR(E25/E6,0)</f>
        <v>0.31083199828071278</v>
      </c>
      <c r="F26" s="35">
        <f>IFERROR(F25/F6,0)</f>
        <v>0.34234943977591037</v>
      </c>
      <c r="H26" s="28"/>
    </row>
    <row r="28" spans="2:8" x14ac:dyDescent="0.2">
      <c r="B28" s="3" t="s">
        <v>143</v>
      </c>
      <c r="C28" s="3"/>
      <c r="D28" s="3"/>
      <c r="E28" s="3"/>
      <c r="F28" s="3"/>
      <c r="G28" s="3"/>
      <c r="H28" s="3"/>
    </row>
    <row r="29" spans="2:8" ht="26" x14ac:dyDescent="0.2">
      <c r="B29" s="18" t="s">
        <v>144</v>
      </c>
      <c r="D29" s="25">
        <f>D25-D22</f>
        <v>9.2756240822320102</v>
      </c>
      <c r="E29" s="25">
        <f>E25-E22</f>
        <v>6.9100446428571516</v>
      </c>
      <c r="F29" s="25">
        <f>F25-F22</f>
        <v>9.5916666666666686</v>
      </c>
      <c r="H29" s="28" t="s">
        <v>145</v>
      </c>
    </row>
    <row r="30" spans="2:8" ht="39" x14ac:dyDescent="0.2">
      <c r="B30" s="21" t="s">
        <v>146</v>
      </c>
      <c r="D30" s="36"/>
      <c r="E30" s="36"/>
      <c r="F30" s="36"/>
      <c r="H30" s="28" t="s">
        <v>147</v>
      </c>
    </row>
    <row r="31" spans="2:8" ht="26" x14ac:dyDescent="0.2">
      <c r="B31" s="18" t="s">
        <v>148</v>
      </c>
      <c r="D31" s="36"/>
      <c r="E31" s="37">
        <f>E29</f>
        <v>6.9100446428571516</v>
      </c>
      <c r="F31" s="36"/>
      <c r="H31" s="28" t="s">
        <v>149</v>
      </c>
    </row>
  </sheetData>
  <mergeCells count="7">
    <mergeCell ref="B21:H21"/>
    <mergeCell ref="B28:H28"/>
    <mergeCell ref="B1:H1"/>
    <mergeCell ref="B2:H2"/>
    <mergeCell ref="B5:H5"/>
    <mergeCell ref="B11:H11"/>
    <mergeCell ref="B16:H16"/>
  </mergeCells>
  <pageMargins left="0.75" right="0.75" top="1" bottom="1" header="0.511811023622047" footer="0.511811023622047"/>
  <pageSetup paperSize="9" scale="64"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4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3" sqref="E13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4" customWidth="1"/>
    <col min="4" max="6" width="16" customWidth="1"/>
    <col min="7" max="7" width="4" customWidth="1"/>
    <col min="8" max="8" width="30" customWidth="1"/>
  </cols>
  <sheetData>
    <row r="1" spans="1:8" ht="19" x14ac:dyDescent="0.2">
      <c r="B1" s="5" t="s">
        <v>150</v>
      </c>
      <c r="C1" s="5"/>
      <c r="D1" s="5"/>
      <c r="E1" s="5"/>
      <c r="F1" s="5"/>
      <c r="G1" s="5"/>
      <c r="H1" s="5"/>
    </row>
    <row r="2" spans="1:8" x14ac:dyDescent="0.2">
      <c r="B2" s="4" t="s">
        <v>151</v>
      </c>
      <c r="C2" s="4"/>
      <c r="D2" s="4"/>
      <c r="E2" s="4"/>
      <c r="F2" s="4"/>
      <c r="G2" s="4"/>
      <c r="H2" s="4"/>
    </row>
    <row r="4" spans="1:8" x14ac:dyDescent="0.2">
      <c r="A4" s="17"/>
      <c r="B4" s="17" t="s">
        <v>81</v>
      </c>
      <c r="C4" s="17"/>
      <c r="D4" s="17" t="s">
        <v>44</v>
      </c>
      <c r="E4" s="17" t="s">
        <v>45</v>
      </c>
      <c r="F4" s="17" t="s">
        <v>46</v>
      </c>
      <c r="G4" s="17"/>
      <c r="H4" s="27" t="s">
        <v>82</v>
      </c>
    </row>
    <row r="5" spans="1:8" x14ac:dyDescent="0.2">
      <c r="B5" s="3" t="s">
        <v>152</v>
      </c>
      <c r="C5" s="3"/>
      <c r="D5" s="3"/>
      <c r="E5" s="3"/>
      <c r="F5" s="3"/>
      <c r="G5" s="3"/>
      <c r="H5" s="3"/>
    </row>
    <row r="6" spans="1:8" ht="26" x14ac:dyDescent="0.2">
      <c r="B6" s="21" t="s">
        <v>153</v>
      </c>
      <c r="D6" s="32">
        <v>45.6</v>
      </c>
      <c r="E6" s="32">
        <v>40.299999999999997</v>
      </c>
      <c r="F6" s="32">
        <v>37.200000000000003</v>
      </c>
      <c r="H6" s="28" t="s">
        <v>154</v>
      </c>
    </row>
    <row r="7" spans="1:8" x14ac:dyDescent="0.2">
      <c r="B7" s="21" t="s">
        <v>155</v>
      </c>
      <c r="D7" s="32">
        <v>-31.6</v>
      </c>
      <c r="E7" s="32">
        <v>-30.9</v>
      </c>
      <c r="F7" s="32">
        <v>-22</v>
      </c>
      <c r="H7" s="28" t="s">
        <v>156</v>
      </c>
    </row>
    <row r="8" spans="1:8" x14ac:dyDescent="0.2">
      <c r="B8" s="18" t="s">
        <v>157</v>
      </c>
      <c r="D8" s="25">
        <f>D6+D7</f>
        <v>14</v>
      </c>
      <c r="E8" s="25">
        <f>E6+E7</f>
        <v>9.3999999999999986</v>
      </c>
      <c r="F8" s="25">
        <f>F6+F7</f>
        <v>15.200000000000003</v>
      </c>
      <c r="H8" s="28" t="s">
        <v>158</v>
      </c>
    </row>
    <row r="10" spans="1:8" x14ac:dyDescent="0.2">
      <c r="B10" s="3" t="s">
        <v>159</v>
      </c>
      <c r="C10" s="3"/>
      <c r="D10" s="3"/>
      <c r="E10" s="3"/>
      <c r="F10" s="3"/>
      <c r="G10" s="3"/>
      <c r="H10" s="3"/>
    </row>
    <row r="11" spans="1:8" ht="39" x14ac:dyDescent="0.2">
      <c r="B11" s="21" t="s">
        <v>160</v>
      </c>
      <c r="D11" s="38">
        <v>1.2</v>
      </c>
      <c r="E11" s="38">
        <v>1.5</v>
      </c>
      <c r="F11" s="38">
        <v>1.5</v>
      </c>
      <c r="H11" s="28" t="s">
        <v>161</v>
      </c>
    </row>
    <row r="12" spans="1:8" ht="26" x14ac:dyDescent="0.2">
      <c r="B12" s="21" t="s">
        <v>162</v>
      </c>
      <c r="D12" s="32">
        <v>0.8</v>
      </c>
      <c r="E12" s="32">
        <v>0.8</v>
      </c>
      <c r="F12" s="32">
        <v>0.6</v>
      </c>
      <c r="H12" s="28" t="s">
        <v>163</v>
      </c>
    </row>
    <row r="13" spans="1:8" ht="26" x14ac:dyDescent="0.2">
      <c r="B13" s="21" t="s">
        <v>164</v>
      </c>
      <c r="D13" s="38">
        <v>0</v>
      </c>
      <c r="E13" s="38">
        <v>0</v>
      </c>
      <c r="F13" s="38">
        <v>0</v>
      </c>
      <c r="H13" s="28" t="s">
        <v>165</v>
      </c>
    </row>
    <row r="14" spans="1:8" ht="26" x14ac:dyDescent="0.2">
      <c r="B14" s="21" t="s">
        <v>166</v>
      </c>
      <c r="D14" s="32">
        <v>0</v>
      </c>
      <c r="E14" s="32">
        <v>0</v>
      </c>
      <c r="F14" s="32">
        <v>0</v>
      </c>
      <c r="H14" s="28" t="s">
        <v>167</v>
      </c>
    </row>
    <row r="15" spans="1:8" ht="26" x14ac:dyDescent="0.2">
      <c r="B15" s="18" t="s">
        <v>168</v>
      </c>
      <c r="D15" s="25">
        <f>SUM(D11:D14)</f>
        <v>2</v>
      </c>
      <c r="E15" s="25">
        <f>SUM(E11:E14)</f>
        <v>2.2999999999999998</v>
      </c>
      <c r="F15" s="25">
        <f>SUM(F11:F14)</f>
        <v>2.1</v>
      </c>
      <c r="H15" s="28" t="s">
        <v>169</v>
      </c>
    </row>
    <row r="17" spans="2:8" x14ac:dyDescent="0.2">
      <c r="B17" s="3" t="s">
        <v>170</v>
      </c>
      <c r="C17" s="3"/>
      <c r="D17" s="3"/>
      <c r="E17" s="3"/>
      <c r="F17" s="3"/>
      <c r="G17" s="3"/>
      <c r="H17" s="3"/>
    </row>
    <row r="18" spans="2:8" ht="26" x14ac:dyDescent="0.2">
      <c r="B18" s="18" t="s">
        <v>171</v>
      </c>
      <c r="D18" s="39">
        <f>D8+D15</f>
        <v>16</v>
      </c>
      <c r="E18" s="39">
        <f>E8+E15</f>
        <v>11.7</v>
      </c>
      <c r="F18" s="39">
        <f>F8+F15</f>
        <v>17.300000000000004</v>
      </c>
      <c r="H18" s="28" t="s">
        <v>172</v>
      </c>
    </row>
    <row r="20" spans="2:8" x14ac:dyDescent="0.2">
      <c r="B20" s="3" t="s">
        <v>173</v>
      </c>
      <c r="C20" s="3"/>
      <c r="D20" s="3"/>
      <c r="E20" s="3"/>
      <c r="F20" s="3"/>
      <c r="G20" s="3"/>
      <c r="H20" s="3"/>
    </row>
    <row r="21" spans="2:8" x14ac:dyDescent="0.2">
      <c r="B21" s="21" t="s">
        <v>174</v>
      </c>
      <c r="D21" s="40">
        <f>IFERROR(D8/24.6,0)</f>
        <v>0.56910569105691056</v>
      </c>
      <c r="E21" s="40">
        <f>IFERROR(E8/11.6,0)</f>
        <v>0.81034482758620685</v>
      </c>
      <c r="F21" s="40">
        <f>IFERROR(F8/16.3,0)</f>
        <v>0.93251533742331305</v>
      </c>
      <c r="H21" s="28" t="s">
        <v>175</v>
      </c>
    </row>
    <row r="22" spans="2:8" x14ac:dyDescent="0.2">
      <c r="B22" s="21" t="s">
        <v>176</v>
      </c>
      <c r="D22" s="40">
        <f>IFERROR(D18/24.6,0)</f>
        <v>0.65040650406504064</v>
      </c>
      <c r="E22" s="40">
        <f>IFERROR(E18/11.6,0)</f>
        <v>1.0086206896551724</v>
      </c>
      <c r="F22" s="40">
        <f>IFERROR(F18/16.3,0)</f>
        <v>1.0613496932515341</v>
      </c>
      <c r="H22" s="28" t="s">
        <v>177</v>
      </c>
    </row>
    <row r="23" spans="2:8" x14ac:dyDescent="0.2">
      <c r="B23" s="21" t="s">
        <v>178</v>
      </c>
      <c r="D23" s="32">
        <v>0.2</v>
      </c>
      <c r="E23" s="32">
        <v>0.14000000000000001</v>
      </c>
      <c r="F23" s="32">
        <v>0.04</v>
      </c>
      <c r="H23" s="28" t="s">
        <v>179</v>
      </c>
    </row>
    <row r="24" spans="2:8" x14ac:dyDescent="0.2">
      <c r="B24" s="21" t="s">
        <v>180</v>
      </c>
      <c r="D24" s="41">
        <v>24.6</v>
      </c>
      <c r="E24" s="41">
        <v>11.6</v>
      </c>
      <c r="F24" s="41">
        <v>16.3</v>
      </c>
      <c r="H24" s="28" t="s">
        <v>181</v>
      </c>
    </row>
  </sheetData>
  <mergeCells count="6">
    <mergeCell ref="B20:H20"/>
    <mergeCell ref="B1:H1"/>
    <mergeCell ref="B2:H2"/>
    <mergeCell ref="B5:H5"/>
    <mergeCell ref="B10:H10"/>
    <mergeCell ref="B17:H17"/>
  </mergeCells>
  <pageMargins left="0.75" right="0.75" top="1" bottom="1" header="0.511811023622047" footer="0.511811023622047"/>
  <pageSetup paperSize="9" scale="62"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28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4" sqref="I14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4" customWidth="1"/>
    <col min="4" max="6" width="18" customWidth="1"/>
    <col min="7" max="7" width="4" customWidth="1"/>
    <col min="8" max="8" width="28" customWidth="1"/>
  </cols>
  <sheetData>
    <row r="1" spans="1:8" ht="19" x14ac:dyDescent="0.2">
      <c r="B1" s="5" t="s">
        <v>182</v>
      </c>
      <c r="C1" s="5"/>
      <c r="D1" s="5"/>
      <c r="E1" s="5"/>
      <c r="F1" s="5"/>
      <c r="G1" s="5"/>
      <c r="H1" s="5"/>
    </row>
    <row r="2" spans="1:8" x14ac:dyDescent="0.2">
      <c r="B2" s="4" t="s">
        <v>183</v>
      </c>
      <c r="C2" s="4"/>
      <c r="D2" s="4"/>
      <c r="E2" s="4"/>
      <c r="F2" s="4"/>
      <c r="G2" s="4"/>
      <c r="H2" s="4"/>
    </row>
    <row r="4" spans="1:8" x14ac:dyDescent="0.2">
      <c r="A4" s="17"/>
      <c r="B4" s="17" t="s">
        <v>81</v>
      </c>
      <c r="C4" s="17"/>
      <c r="D4" s="17" t="s">
        <v>184</v>
      </c>
      <c r="E4" s="17" t="s">
        <v>185</v>
      </c>
      <c r="F4" s="17" t="s">
        <v>186</v>
      </c>
      <c r="G4" s="17"/>
      <c r="H4" s="27" t="s">
        <v>187</v>
      </c>
    </row>
    <row r="5" spans="1:8" x14ac:dyDescent="0.2">
      <c r="B5" s="3" t="s">
        <v>188</v>
      </c>
      <c r="C5" s="3"/>
      <c r="D5" s="3"/>
      <c r="E5" s="3"/>
      <c r="F5" s="3"/>
      <c r="G5" s="3"/>
      <c r="H5" s="3"/>
    </row>
    <row r="6" spans="1:8" ht="26" x14ac:dyDescent="0.2">
      <c r="B6" s="21" t="s">
        <v>189</v>
      </c>
      <c r="D6" s="42">
        <v>11.6</v>
      </c>
      <c r="E6" s="42">
        <v>14</v>
      </c>
      <c r="F6" s="42">
        <v>16.3</v>
      </c>
      <c r="H6" s="28" t="s">
        <v>190</v>
      </c>
    </row>
    <row r="7" spans="1:8" ht="39" x14ac:dyDescent="0.2">
      <c r="B7" s="21" t="s">
        <v>191</v>
      </c>
      <c r="D7" s="42">
        <v>5</v>
      </c>
      <c r="E7" s="42">
        <v>6</v>
      </c>
      <c r="F7" s="42">
        <v>7</v>
      </c>
      <c r="H7" s="28" t="s">
        <v>192</v>
      </c>
    </row>
    <row r="9" spans="1:8" x14ac:dyDescent="0.2">
      <c r="B9" s="3" t="s">
        <v>193</v>
      </c>
      <c r="C9" s="3"/>
      <c r="D9" s="3"/>
      <c r="E9" s="3"/>
      <c r="F9" s="3"/>
      <c r="G9" s="3"/>
      <c r="H9" s="3"/>
    </row>
    <row r="10" spans="1:8" x14ac:dyDescent="0.2">
      <c r="B10" s="18" t="s">
        <v>194</v>
      </c>
      <c r="D10" s="43">
        <f>D6*D7</f>
        <v>58</v>
      </c>
      <c r="E10" s="43">
        <f>E6*E7</f>
        <v>84</v>
      </c>
      <c r="F10" s="43">
        <f>F6*F7</f>
        <v>114.10000000000001</v>
      </c>
      <c r="H10" s="28"/>
    </row>
    <row r="12" spans="1:8" x14ac:dyDescent="0.2">
      <c r="B12" s="3" t="s">
        <v>195</v>
      </c>
      <c r="C12" s="3"/>
      <c r="D12" s="3"/>
      <c r="E12" s="3"/>
      <c r="F12" s="3"/>
      <c r="G12" s="3"/>
      <c r="H12" s="3"/>
    </row>
    <row r="13" spans="1:8" x14ac:dyDescent="0.2">
      <c r="B13" s="21" t="s">
        <v>196</v>
      </c>
      <c r="D13" s="44">
        <v>-9.4</v>
      </c>
      <c r="E13" s="44">
        <v>-9.4</v>
      </c>
      <c r="F13" s="44">
        <v>-9.4</v>
      </c>
      <c r="H13" s="28" t="s">
        <v>197</v>
      </c>
    </row>
    <row r="14" spans="1:8" x14ac:dyDescent="0.2">
      <c r="B14" s="21" t="s">
        <v>198</v>
      </c>
      <c r="D14" s="44">
        <v>-1.5</v>
      </c>
      <c r="E14" s="44">
        <v>-1.5</v>
      </c>
      <c r="F14" s="44">
        <v>-1.5</v>
      </c>
      <c r="H14" s="28" t="s">
        <v>199</v>
      </c>
    </row>
    <row r="15" spans="1:8" x14ac:dyDescent="0.2">
      <c r="B15" s="21" t="s">
        <v>200</v>
      </c>
      <c r="D15" s="44">
        <v>-0.8</v>
      </c>
      <c r="E15" s="44">
        <v>-0.8</v>
      </c>
      <c r="F15" s="44">
        <v>-0.8</v>
      </c>
      <c r="H15" s="28" t="s">
        <v>199</v>
      </c>
    </row>
    <row r="16" spans="1:8" ht="26" x14ac:dyDescent="0.2">
      <c r="B16" s="21" t="s">
        <v>201</v>
      </c>
      <c r="D16" s="44">
        <v>-7</v>
      </c>
      <c r="E16" s="44">
        <v>-7</v>
      </c>
      <c r="F16" s="44">
        <v>-7</v>
      </c>
      <c r="H16" s="28" t="s">
        <v>202</v>
      </c>
    </row>
    <row r="17" spans="2:8" ht="26" x14ac:dyDescent="0.2">
      <c r="B17" s="21" t="s">
        <v>203</v>
      </c>
      <c r="D17" s="22">
        <v>0</v>
      </c>
      <c r="E17" s="22">
        <v>0</v>
      </c>
      <c r="F17" s="22">
        <v>0</v>
      </c>
      <c r="H17" s="28" t="s">
        <v>204</v>
      </c>
    </row>
    <row r="18" spans="2:8" ht="26" x14ac:dyDescent="0.2">
      <c r="B18" s="18" t="s">
        <v>205</v>
      </c>
      <c r="D18" s="45">
        <f>D10+D13+D14+D15+D16+D17</f>
        <v>39.300000000000004</v>
      </c>
      <c r="E18" s="45">
        <f>E10+E13+E14+E15+E16+E17</f>
        <v>65.3</v>
      </c>
      <c r="F18" s="45">
        <f>F10+F13+F14+F15+F16+F17</f>
        <v>95.4</v>
      </c>
      <c r="H18" s="28" t="s">
        <v>206</v>
      </c>
    </row>
    <row r="20" spans="2:8" x14ac:dyDescent="0.2">
      <c r="B20" s="3" t="s">
        <v>207</v>
      </c>
      <c r="C20" s="3"/>
      <c r="D20" s="3"/>
      <c r="E20" s="3"/>
      <c r="F20" s="3"/>
      <c r="G20" s="3"/>
      <c r="H20" s="3"/>
    </row>
    <row r="21" spans="2:8" ht="26" x14ac:dyDescent="0.2">
      <c r="B21" s="21" t="s">
        <v>208</v>
      </c>
      <c r="D21" s="46">
        <f>IFERROR(D18*0.3,0)</f>
        <v>11.790000000000001</v>
      </c>
      <c r="E21" s="46">
        <f>IFERROR(E18*0.3,0)</f>
        <v>19.59</v>
      </c>
      <c r="F21" s="46">
        <f>IFERROR(F18*0.3,0)</f>
        <v>28.62</v>
      </c>
      <c r="H21" s="28" t="s">
        <v>209</v>
      </c>
    </row>
    <row r="22" spans="2:8" x14ac:dyDescent="0.2">
      <c r="B22" s="18" t="s">
        <v>210</v>
      </c>
      <c r="D22" s="36"/>
      <c r="E22" s="36"/>
      <c r="F22" s="36"/>
      <c r="H22" s="28"/>
    </row>
    <row r="24" spans="2:8" x14ac:dyDescent="0.2">
      <c r="B24" s="3" t="s">
        <v>211</v>
      </c>
      <c r="C24" s="3"/>
      <c r="D24" s="3"/>
      <c r="E24" s="3"/>
      <c r="F24" s="3"/>
      <c r="G24" s="3"/>
      <c r="H24" s="3"/>
    </row>
    <row r="25" spans="2:8" ht="26" x14ac:dyDescent="0.2">
      <c r="B25" s="21" t="s">
        <v>212</v>
      </c>
      <c r="D25" s="22">
        <v>25</v>
      </c>
      <c r="E25" s="22">
        <v>25</v>
      </c>
      <c r="F25" s="22">
        <v>25</v>
      </c>
      <c r="H25" s="28" t="s">
        <v>213</v>
      </c>
    </row>
    <row r="26" spans="2:8" x14ac:dyDescent="0.2">
      <c r="B26" s="21" t="s">
        <v>214</v>
      </c>
      <c r="D26" s="46">
        <f>D25+9.4</f>
        <v>34.4</v>
      </c>
      <c r="E26" s="46">
        <f>E25+9.4</f>
        <v>34.4</v>
      </c>
      <c r="F26" s="46">
        <f>F25+9.4</f>
        <v>34.4</v>
      </c>
      <c r="H26" s="28" t="s">
        <v>215</v>
      </c>
    </row>
    <row r="27" spans="2:8" x14ac:dyDescent="0.2">
      <c r="B27" s="21" t="s">
        <v>216</v>
      </c>
      <c r="D27" s="47">
        <f>IFERROR(D26/16.3,0)</f>
        <v>2.1104294478527605</v>
      </c>
      <c r="E27" s="47">
        <f>IFERROR(E26/16.3,0)</f>
        <v>2.1104294478527605</v>
      </c>
      <c r="F27" s="47">
        <f>IFERROR(F26/16.3,0)</f>
        <v>2.1104294478527605</v>
      </c>
      <c r="H27" s="28" t="s">
        <v>217</v>
      </c>
    </row>
    <row r="28" spans="2:8" x14ac:dyDescent="0.2">
      <c r="B28" s="21" t="s">
        <v>218</v>
      </c>
      <c r="D28" s="48">
        <f>IFERROR((D18-D25)/D25,0)</f>
        <v>0.57200000000000017</v>
      </c>
      <c r="E28" s="48">
        <f>IFERROR((E18-E25)/E25,0)</f>
        <v>1.6119999999999999</v>
      </c>
      <c r="F28" s="48">
        <f>IFERROR((F18-F25)/F25,0)</f>
        <v>2.8160000000000003</v>
      </c>
      <c r="H28" s="28" t="s">
        <v>219</v>
      </c>
    </row>
  </sheetData>
  <mergeCells count="7">
    <mergeCell ref="B20:H20"/>
    <mergeCell ref="B24:H24"/>
    <mergeCell ref="B1:H1"/>
    <mergeCell ref="B2:H2"/>
    <mergeCell ref="B5:H5"/>
    <mergeCell ref="B9:H9"/>
    <mergeCell ref="B12:H12"/>
  </mergeCells>
  <pageMargins left="0.75" right="0.75" top="1" bottom="1" header="0.511811023622047" footer="0.511811023622047"/>
  <pageSetup paperSize="9" scale="60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1. P&amp;L Historique</vt:lpstr>
      <vt:lpstr>2. EBITDA Normalisé</vt:lpstr>
      <vt:lpstr>3. BFR Normatif</vt:lpstr>
      <vt:lpstr>4. Dette Nette</vt:lpstr>
      <vt:lpstr>5. Pont EV-Equity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Frédéric LU</cp:lastModifiedBy>
  <cp:revision>0</cp:revision>
  <dcterms:created xsi:type="dcterms:W3CDTF">2026-06-25T13:58:38Z</dcterms:created>
  <dcterms:modified xsi:type="dcterms:W3CDTF">2026-07-01T22:27:42Z</dcterms:modified>
  <dc:language>en-US</dc:language>
</cp:coreProperties>
</file>