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1. P&amp;L Historique" sheetId="2" state="visible" r:id="rId4"/>
    <sheet name="2. EBITDA Normalisé" sheetId="3" state="visible" r:id="rId5"/>
    <sheet name="3. BFR Normatif" sheetId="4" state="visible" r:id="rId6"/>
    <sheet name="4. Dette Nette" sheetId="5" state="visible" r:id="rId7"/>
    <sheet name="5. Pont EV-Equit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<sst xmlns="http://schemas.openxmlformats.org/spreadsheetml/2006/main" count="251" uniqueCount="234">
  <si>
    <t xml:space="preserve">MOULINVEST — FINANCIAL DUE DILIGENCE MODEL</t>
  </si>
  <si>
    <t xml:space="preserve">Analyse financière TS sur données publiques | Frédéric Lu — IMT Business School | Juin 2026</t>
  </si>
  <si>
    <t xml:space="preserve">Société analysée</t>
  </si>
  <si>
    <t xml:space="preserve">MOULINVEST (EPA:ALMOU)</t>
  </si>
  <si>
    <t xml:space="preserve">Marché</t>
  </si>
  <si>
    <t xml:space="preserve">Euronext Growth Paris</t>
  </si>
  <si>
    <t xml:space="preserve">Secteur</t>
  </si>
  <si>
    <t xml:space="preserve">Industrie — Transformation du bois</t>
  </si>
  <si>
    <t xml:space="preserve">Exercice comptable</t>
  </si>
  <si>
    <t xml:space="preserve">Clôture au 31 août (exercice décalé)</t>
  </si>
  <si>
    <t xml:space="preserve">Périmètre d'analyse</t>
  </si>
  <si>
    <t xml:space="preserve">FY2022/23, FY2023/24, FY2024/25</t>
  </si>
  <si>
    <t xml:space="preserve">Sources</t>
  </si>
  <si>
    <t xml:space="preserve">Rapports annuels consolidés publics, communiqués de résultats</t>
  </si>
  <si>
    <t xml:space="preserve">Analyste</t>
  </si>
  <si>
    <t xml:space="preserve">Frédéric Lu</t>
  </si>
  <si>
    <t xml:space="preserve">Date</t>
  </si>
  <si>
    <t xml:space="preserve">Juin 2026</t>
  </si>
  <si>
    <t xml:space="preserve">ONGLETS DU MODÈLE</t>
  </si>
  <si>
    <t xml:space="preserve">1. P&amp;L Historique</t>
  </si>
  <si>
    <t xml:space="preserve">Compte de résultat sur 3 exercices + marges</t>
  </si>
  <si>
    <t xml:space="preserve">2. EBITDA Normalisé</t>
  </si>
  <si>
    <t xml:space="preserve">Retraitements et calcul de l'EBITDA normatif</t>
  </si>
  <si>
    <t xml:space="preserve">3. BFR Normatif</t>
  </si>
  <si>
    <t xml:space="preserve">Calcul des jours de rotation et BFR structurel</t>
  </si>
  <si>
    <t xml:space="preserve">4. Dette Nette</t>
  </si>
  <si>
    <t xml:space="preserve">Construction de la dette nette ajustée</t>
  </si>
  <si>
    <t xml:space="preserve">5. Pont EV-Equity</t>
  </si>
  <si>
    <t xml:space="preserve">Valorisation et bridge EV vers Equity Value</t>
  </si>
  <si>
    <t xml:space="preserve">COLOR CODING</t>
  </si>
  <si>
    <t xml:space="preserve">Texte bleu</t>
  </si>
  <si>
    <t xml:space="preserve">Inputs hardcodés (données saisies manuellement)</t>
  </si>
  <si>
    <t xml:space="preserve">Texte noir</t>
  </si>
  <si>
    <t xml:space="preserve">Formules et calculs</t>
  </si>
  <si>
    <t xml:space="preserve">Texte vert</t>
  </si>
  <si>
    <t xml:space="preserve">Liens vers autres onglets</t>
  </si>
  <si>
    <t xml:space="preserve">Fond jaune</t>
  </si>
  <si>
    <t xml:space="preserve">Hypothèse clé à réviser selon scénario</t>
  </si>
  <si>
    <t xml:space="preserve">AVERTISSEMENT</t>
  </si>
  <si>
    <t xml:space="preserve">Il ne constitue pas un conseil en investissement.</t>
  </si>
  <si>
    <t xml:space="preserve">Sans accès data room, les retraitements sont des estimations.</t>
  </si>
  <si>
    <t xml:space="preserve">MOULINVEST — COMPTE DE RÉSULTAT CONSOLIDÉ HISTORIQUE</t>
  </si>
  <si>
    <t xml:space="preserve">Données en M€ (sauf mentions contraires) | Sources : Rapports annuels consolidés MOULINVEST FY2023, FY2024, FY2025</t>
  </si>
  <si>
    <t xml:space="preserve">Agrégat</t>
  </si>
  <si>
    <t xml:space="preserve">FY2022/23</t>
  </si>
  <si>
    <t xml:space="preserve">FY2023/24</t>
  </si>
  <si>
    <t xml:space="preserve">FY2024/25</t>
  </si>
  <si>
    <t xml:space="preserve">Var. FY23→24</t>
  </si>
  <si>
    <t xml:space="preserve">Var. FY24→25</t>
  </si>
  <si>
    <t xml:space="preserve">CAGR 2Y</t>
  </si>
  <si>
    <t xml:space="preserve">CHIFFRE D'AFFAIRES</t>
  </si>
  <si>
    <t xml:space="preserve">Chiffre d'affaires consolidé</t>
  </si>
  <si>
    <t xml:space="preserve">ⓘ Source: CP résultats annuels MOULINVEST FY2023/2024/2025</t>
  </si>
  <si>
    <t xml:space="preserve">  dont Bois Construction</t>
  </si>
  <si>
    <t xml:space="preserve">ⓘ FY24: 47.6% CA | FY25: 52.3% CA - estimé</t>
  </si>
  <si>
    <t xml:space="preserve">  dont Bois Énergie</t>
  </si>
  <si>
    <t xml:space="preserve">ⓘ FY24: 28.5% CA - estimé</t>
  </si>
  <si>
    <t xml:space="preserve">  dont Imprégnation</t>
  </si>
  <si>
    <t xml:space="preserve">ⓘ FY24: 21.3% CA - estimé</t>
  </si>
  <si>
    <t xml:space="preserve">  Export (% CA)</t>
  </si>
  <si>
    <t xml:space="preserve">MARGES BRUTES &amp; EXPLOITATION</t>
  </si>
  <si>
    <t xml:space="preserve">Marge brute</t>
  </si>
  <si>
    <t xml:space="preserve">ⓘ FY25: +8.18% vs FY24 - rapport annuel</t>
  </si>
  <si>
    <t xml:space="preserve">  Taux de marge brute</t>
  </si>
  <si>
    <t xml:space="preserve">Charges de personnel</t>
  </si>
  <si>
    <t xml:space="preserve">ⓘ FY24: ~12% CA - rapport annuel</t>
  </si>
  <si>
    <t xml:space="preserve">  % CA</t>
  </si>
  <si>
    <t xml:space="preserve">Autres achats &amp; charges externes</t>
  </si>
  <si>
    <t xml:space="preserve">ⓘ FY25: 24.4% CA (-14% énergie) - rapport annuel</t>
  </si>
  <si>
    <t xml:space="preserve">EBITDA (EBE)</t>
  </si>
  <si>
    <t xml:space="preserve">EBITDA consolidé</t>
  </si>
  <si>
    <t xml:space="preserve">ⓘ Source: CP résultats annuels MOULINVEST</t>
  </si>
  <si>
    <t xml:space="preserve">  Marge EBITDA (% CA)</t>
  </si>
  <si>
    <t xml:space="preserve">Dotations amortissements &amp; dépréciations</t>
  </si>
  <si>
    <t xml:space="preserve">ⓘ FY25: +1.7% vs FY24 - rapport annuel</t>
  </si>
  <si>
    <t xml:space="preserve">RÉSULTAT D'EXPLOITATION (EBIT/REX)</t>
  </si>
  <si>
    <t xml:space="preserve">Résultat d'exploitation</t>
  </si>
  <si>
    <t xml:space="preserve">  Marge EBIT (% CA)</t>
  </si>
  <si>
    <t xml:space="preserve">RÉSULTAT NET</t>
  </si>
  <si>
    <t xml:space="preserve">Résultat financier net</t>
  </si>
  <si>
    <t xml:space="preserve">ⓘ Source: rapports annuels</t>
  </si>
  <si>
    <t xml:space="preserve">Résultat exceptionnel</t>
  </si>
  <si>
    <t xml:space="preserve">ⓘ FY24: cessions actifs +0.58 M€</t>
  </si>
  <si>
    <t xml:space="preserve">Impôt sur les sociétés</t>
  </si>
  <si>
    <t xml:space="preserve">ⓘ Estimé</t>
  </si>
  <si>
    <t xml:space="preserve">Résultat net Groupe (part du groupe)</t>
  </si>
  <si>
    <t xml:space="preserve">  Marge nette (% CA)</t>
  </si>
  <si>
    <t xml:space="preserve">DONNÉES COMPLÉMENTAIRES</t>
  </si>
  <si>
    <t xml:space="preserve">Flux de trésorerie d'exploitation</t>
  </si>
  <si>
    <t xml:space="preserve">ⓘ Source: rapports annuels consolidés</t>
  </si>
  <si>
    <t xml:space="preserve">Capex estimé</t>
  </si>
  <si>
    <t xml:space="preserve">ⓘ Estimation — programme Epicéa</t>
  </si>
  <si>
    <t xml:space="preserve">FCF estimé (Flux exploit. + Capex)</t>
  </si>
  <si>
    <t xml:space="preserve">MOULINVEST — EBITDA NORMALISÉ &amp; RETRAITEMENTS</t>
  </si>
  <si>
    <t xml:space="preserve">Objectif : calculer l'EBITDA représentatif de la performance récurrente de MOULINVEST | En M€</t>
  </si>
  <si>
    <t xml:space="preserve">Élément</t>
  </si>
  <si>
    <t xml:space="preserve">Commentaire / Justification</t>
  </si>
  <si>
    <t xml:space="preserve">BASE — EBITDA COMPTABLE</t>
  </si>
  <si>
    <t xml:space="preserve">EBITDA comptable publié</t>
  </si>
  <si>
    <t xml:space="preserve">Source: Rapports annuels consolidés MOULINVEST FY2023, FY2024, FY2025</t>
  </si>
  <si>
    <t xml:space="preserve">RETRAITEMENTS NON RÉCURRENTS</t>
  </si>
  <si>
    <t xml:space="preserve">(–) Résultat exceptionnel FY2024</t>
  </si>
  <si>
    <t xml:space="preserve">FY2024: +0.58 M€ lié à des cessions d'actifs immobilisés. Produit non récurrent → retrait de la base normative.</t>
  </si>
  <si>
    <t xml:space="preserve">(+) Surcoût énergétique estimé FY2024</t>
  </si>
  <si>
    <t xml:space="preserve">Renégociation contrats électricité jan.2025 → économie ~14% charges ext. FY25 vs FY24. Surcoût ponctuel estimé à 1.5 M€ sur FY24. Retraitement prudent.</t>
  </si>
  <si>
    <t xml:space="preserve">(+) Provisions / charges restructuration</t>
  </si>
  <si>
    <t xml:space="preserve">Aucun élément publié identifié. À vérifier en data room via les annexes aux comptes.</t>
  </si>
  <si>
    <t xml:space="preserve">(+/-) Rémunération dirigeant non-market</t>
  </si>
  <si>
    <t xml:space="preserve">Hypothèse : rémunération at-market. À confirmer en DD (risque classique PME familiale). Modifier si nécessaire.</t>
  </si>
  <si>
    <t xml:space="preserve">TOTAL RETRAITEMENTS</t>
  </si>
  <si>
    <t xml:space="preserve">Somme des ajustements identifiés</t>
  </si>
  <si>
    <t xml:space="preserve">EBITDA NORMALISÉ</t>
  </si>
  <si>
    <t xml:space="preserve">EBITDA normalisé</t>
  </si>
  <si>
    <t xml:space="preserve">EBITDA comptable + Total retraitements</t>
  </si>
  <si>
    <t xml:space="preserve">  Marge EBITDA normalisée (% CA)</t>
  </si>
  <si>
    <t xml:space="preserve">Référence CA : onglet P&amp;L Historique</t>
  </si>
  <si>
    <t xml:space="preserve">ANALYSE DE LA NORMALISATION</t>
  </si>
  <si>
    <t xml:space="preserve">  Δ EBITDA normalisé vs comptable</t>
  </si>
  <si>
    <t xml:space="preserve">Impact total des retraitements</t>
  </si>
  <si>
    <t xml:space="preserve">  EBITDA normatif moyen FY24-FY25 (€)</t>
  </si>
  <si>
    <t xml:space="preserve">Base de valorisation retenue — base case</t>
  </si>
  <si>
    <t xml:space="preserve">  EBITDA normatif moyen (marge %)</t>
  </si>
  <si>
    <t xml:space="preserve">Niveau structurel de rentabilité estimé</t>
  </si>
  <si>
    <t xml:space="preserve">MOULINVEST — BESOIN EN FONDS DE ROULEMENT (BFR) NORMATIF</t>
  </si>
  <si>
    <t xml:space="preserve">Objectif : calculer le BFR structurel de MOULINVEST et identifier l'écart vs BFR comptable | En M€ sauf jours</t>
  </si>
  <si>
    <t xml:space="preserve">Commentaire</t>
  </si>
  <si>
    <t xml:space="preserve">DONNÉES D'ENTRÉE (INPUTS)</t>
  </si>
  <si>
    <t xml:space="preserve">Chiffre d'affaires HT</t>
  </si>
  <si>
    <t xml:space="preserve">Source: PL Historique</t>
  </si>
  <si>
    <t xml:space="preserve">CA TTC (TVA 20%)</t>
  </si>
  <si>
    <t xml:space="preserve">CA HT x 1.20</t>
  </si>
  <si>
    <t xml:space="preserve">Achats consommés (HT)</t>
  </si>
  <si>
    <t xml:space="preserve">Estimé: CA×45% (industrie bois)</t>
  </si>
  <si>
    <t xml:space="preserve">Achats TTC</t>
  </si>
  <si>
    <t xml:space="preserve">Achats HT x 1.20</t>
  </si>
  <si>
    <t xml:space="preserve">POSTES DU BILAN ESTIMÉS (M€)</t>
  </si>
  <si>
    <t xml:space="preserve">Créances clients (bilan)</t>
  </si>
  <si>
    <t xml:space="preserve">Estimé depuis flux de trésorerie publiés. À affiner en DD.</t>
  </si>
  <si>
    <t xml:space="preserve">Stocks (bilan)</t>
  </si>
  <si>
    <t xml:space="preserve">Hausse FY25 : montée en capacité sciage — rapport annuel</t>
  </si>
  <si>
    <t xml:space="preserve">Dettes fournisseurs (bilan)</t>
  </si>
  <si>
    <t xml:space="preserve">Estimé — à confirmer en data room</t>
  </si>
  <si>
    <t xml:space="preserve">RATIOS DE ROTATION (JOURS)</t>
  </si>
  <si>
    <t xml:space="preserve">Jours clients (Clients / CA TTC × 365)</t>
  </si>
  <si>
    <t xml:space="preserve">Mesure le délai moyen d'encaissement</t>
  </si>
  <si>
    <t xml:space="preserve">Jours stocks (Stocks / Achats HT × 365)</t>
  </si>
  <si>
    <t xml:space="preserve">Norme secteur bois: 90-140 jours</t>
  </si>
  <si>
    <t xml:space="preserve">Jours fournisseurs (Fourn. / Achats TTC × 365)</t>
  </si>
  <si>
    <t xml:space="preserve">Mesure le délai moyen de règlement</t>
  </si>
  <si>
    <t xml:space="preserve">CALCUL DU BFR (M€)</t>
  </si>
  <si>
    <t xml:space="preserve">BFR Comptable (Clients + Stocks – Fournisseurs)</t>
  </si>
  <si>
    <t xml:space="preserve">Photo bilan à la date de clôture (31/08)</t>
  </si>
  <si>
    <t xml:space="preserve">Jours BFR normatif (J.Clients + J.Stocks – J.Fourn.)</t>
  </si>
  <si>
    <t xml:space="preserve">Nombre de jours de CA immobilisé en BFR</t>
  </si>
  <si>
    <t xml:space="preserve">BFR Normatif (Jours BFR × CA HT / 365)</t>
  </si>
  <si>
    <t xml:space="preserve">BFR structurel en cycle normalisé</t>
  </si>
  <si>
    <t xml:space="preserve">  BFR Normatif (% CA)</t>
  </si>
  <si>
    <t xml:space="preserve">ANALYSE DE L'ÉCART BFR</t>
  </si>
  <si>
    <t xml:space="preserve">Écart BFR Normatif – BFR Comptable</t>
  </si>
  <si>
    <t xml:space="preserve">Positif = BFR comptable &lt; normatif → signal de vigilance</t>
  </si>
  <si>
    <t xml:space="preserve">  Interprétation</t>
  </si>
  <si>
    <t xml:space="preserve">Écart positif: acheteur financera la différence post-closing (ajustement de prix)</t>
  </si>
  <si>
    <t xml:space="preserve">Ajustement de prix potentiel</t>
  </si>
  <si>
    <t xml:space="preserve">Ecart FY24 — a contractualiser en locked box</t>
  </si>
  <si>
    <t xml:space="preserve">MOULINVEST — DETTE NETTE AJUSTÉE &amp; ÉLÉMENTS DEBT-LIKE</t>
  </si>
  <si>
    <t xml:space="preserve">Objectif : construire la dette nette ajustée incluant tous les éléments debt-like | En M€</t>
  </si>
  <si>
    <t xml:space="preserve">DETTE NETTE COMPTABLE</t>
  </si>
  <si>
    <t xml:space="preserve">Dettes financières brutes</t>
  </si>
  <si>
    <t xml:space="preserve">Source: Rapports annuels consolidés MOULINVEST</t>
  </si>
  <si>
    <t xml:space="preserve">(–) Trésorerie &amp; équivalents de trésorerie</t>
  </si>
  <si>
    <t xml:space="preserve">Source: Rapports annuels consolidés</t>
  </si>
  <si>
    <t xml:space="preserve">Dette Nette Comptable</t>
  </si>
  <si>
    <t xml:space="preserve">Dettes financières – Trésorerie</t>
  </si>
  <si>
    <t xml:space="preserve">ÉLÉMENTS DEBT-LIKE</t>
  </si>
  <si>
    <t xml:space="preserve">(+) Engagements de retraite (IAS 19 estimé)</t>
  </si>
  <si>
    <t xml:space="preserve">Estimé prudemment. Groupe industriel avec ~300 salariés et plusieurs filiales. À quantifier précisément en DD via notes annexes.</t>
  </si>
  <si>
    <t xml:space="preserve">(+) Dettes locatives IFRS 16</t>
  </si>
  <si>
    <t xml:space="preserve">Crédit-bail construction (CBC) inclus dans dettes financières — estimé résiduel</t>
  </si>
  <si>
    <t xml:space="preserve">(+) Passifs environnementaux</t>
  </si>
  <si>
    <t xml:space="preserve">Non chiffré publiquement. À vérifier en data room.</t>
  </si>
  <si>
    <t xml:space="preserve">(+) Arriérés fiscaux / sociaux</t>
  </si>
  <si>
    <t xml:space="preserve">Aucun signal identifié dans les rapports publics</t>
  </si>
  <si>
    <t xml:space="preserve">Total Elements Debt-Like</t>
  </si>
  <si>
    <t xml:space="preserve">Somme des éléments assimilables à de la dette</t>
  </si>
  <si>
    <t xml:space="preserve">DETTE NETTE AJUSTÉE</t>
  </si>
  <si>
    <t xml:space="preserve">Dette Nette Ajustee</t>
  </si>
  <si>
    <t xml:space="preserve">Dette Nette Comptable + Total Éléments Debt-Like</t>
  </si>
  <si>
    <t xml:space="preserve">RATIOS DE LEVIER</t>
  </si>
  <si>
    <t xml:space="preserve">DN Comptable / EBITDA normalisé</t>
  </si>
  <si>
    <t xml:space="preserve">Levier financier standard</t>
  </si>
  <si>
    <t xml:space="preserve">DN Ajustée / EBITDA normalisé</t>
  </si>
  <si>
    <t xml:space="preserve">Levier ajusté (vue acquéreur)</t>
  </si>
  <si>
    <t xml:space="preserve">DN Ajustée / Capitaux propres</t>
  </si>
  <si>
    <t xml:space="preserve">Source: rapports annuels MOULINVEST</t>
  </si>
  <si>
    <t xml:space="preserve">EBITDA normalisé (rappel — onglet 2)</t>
  </si>
  <si>
    <t xml:space="preserve">Lien vers onglet EBITDA Normalisé</t>
  </si>
  <si>
    <t xml:space="preserve">MOULINVEST — PONT EV / EQUITY VALUE (BASE CASE)</t>
  </si>
  <si>
    <t xml:space="preserve">Valorisation indicative par la méthode des multiples EV/EBITDA | En M€ | Données FY2023/24 retenues comme base</t>
  </si>
  <si>
    <t xml:space="preserve">Bear Case</t>
  </si>
  <si>
    <t xml:space="preserve">Base Case</t>
  </si>
  <si>
    <t xml:space="preserve">Bull Case</t>
  </si>
  <si>
    <t xml:space="preserve">Hypothèses &amp; Commentaires</t>
  </si>
  <si>
    <t xml:space="preserve">HYPOTHÈSES DE VALORISATION</t>
  </si>
  <si>
    <t xml:space="preserve">EBITDA normalisé retenu (M€)</t>
  </si>
  <si>
    <t xml:space="preserve">Bear=FY24 normalisé | Base=moy FY24n-FY25 | Bull=FY25</t>
  </si>
  <si>
    <t xml:space="preserve">Multiple EV/EBITDA retenu (x)</t>
  </si>
  <si>
    <t xml:space="preserve">Secteur bois/industrie PME non coté. Fourchette marché 5x-7x (transactions comparables EU 2022-2025)</t>
  </si>
  <si>
    <t xml:space="preserve">CALCUL DE LA VALEUR D'ENTREPRISE</t>
  </si>
  <si>
    <t xml:space="preserve">Valeur d'Entreprise (VE = EBITDA × Multiple)</t>
  </si>
  <si>
    <t xml:space="preserve">PONT EV → EQUITY VALUE</t>
  </si>
  <si>
    <t xml:space="preserve">(–) Dette nette comptable FY2024</t>
  </si>
  <si>
    <t xml:space="preserve">Source: onglet 4 — Dette Nette</t>
  </si>
  <si>
    <t xml:space="preserve">(–) Engagements de retraite</t>
  </si>
  <si>
    <t xml:space="preserve">Source: onglet 4 — Debt-like item</t>
  </si>
  <si>
    <t xml:space="preserve">(–) Dettes locatives IFRS 16</t>
  </si>
  <si>
    <t xml:space="preserve">(–) Ajustement BFR normatif FY2024</t>
  </si>
  <si>
    <t xml:space="preserve">Source: onglet 3 — BFR normatif &gt; BFR comptable</t>
  </si>
  <si>
    <t xml:space="preserve">(+) Éléments cash-like identifiés</t>
  </si>
  <si>
    <t xml:space="preserve">Aucun actif non opérationnel significatif identifié publiquement. À vérifier en DD.</t>
  </si>
  <si>
    <t xml:space="preserve">Equity Value Estimee</t>
  </si>
  <si>
    <t xml:space="preserve">Prix des capitaux propres = VE – Ajustements nets</t>
  </si>
  <si>
    <t xml:space="preserve">ANALYSE DE SENSIBILITÉ</t>
  </si>
  <si>
    <t xml:space="preserve">Prime de contrôle estimée (30%)</t>
  </si>
  <si>
    <t xml:space="preserve">Prime standard sur transactions PME non cotées</t>
  </si>
  <si>
    <t xml:space="preserve">Equity Value avec prime de contrôle</t>
  </si>
  <si>
    <t xml:space="preserve">RÉFÉRENCE MARCHÉ</t>
  </si>
  <si>
    <t xml:space="preserve">Capitalisation boursière (estimée, M€)</t>
  </si>
  <si>
    <t xml:space="preserve">Estimation sur cours ~7,5 €/action × 3,025M actions — à vérifier</t>
  </si>
  <si>
    <t xml:space="preserve">VE implicite marché (Capi + DN compta)</t>
  </si>
  <si>
    <t xml:space="preserve">Capi + DN comptable FY2024</t>
  </si>
  <si>
    <t xml:space="preserve">Multiple VE/EBITDA implicite (marché)</t>
  </si>
  <si>
    <t xml:space="preserve">VE implicite / EBITDA FY25 normalisé</t>
  </si>
  <si>
    <t xml:space="preserve">Prime implicite Base Case vs Marché (%)</t>
  </si>
  <si>
    <t xml:space="preserve">Mesure le premium d'acquisition vs cours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</si>
</sst>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;\(#,##0.0\);\-"/>
    <numFmt numFmtId="166" formatCode="0.0%;\(0.0%\);\-"/>
    <numFmt numFmtId="167" formatCode="0.0;\(0.0\);\-"/>
    <numFmt numFmtId="168" formatCode="0.0\x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0"/>
      <charset val="1"/>
    </font>
    <font>
      <i val="true"/>
      <sz val="10"/>
      <color rgb="FFFFFFFF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4A5568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2D6A4F"/>
      <name val="Calibri"/>
      <family val="0"/>
      <charset val="1"/>
    </font>
    <font>
      <sz val="10"/>
      <color rgb="FF0000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6400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9"/>
      <color rgb="FF4A5568"/>
      <name val="Calibri"/>
      <family val="0"/>
      <charset val="1"/>
    </font>
    <font>
      <b val="true"/>
      <sz val="10"/>
      <color rgb="FF1A2C4E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i val="true"/>
      <sz val="8"/>
      <color rgb="FF4A5568"/>
      <name val="Calibri"/>
      <family val="0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0"/>
      <color rgb="FF006400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b val="true"/>
      <sz val="12"/>
      <color rgb="FFFFFFFF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2C4E"/>
        <bgColor rgb="FF333333"/>
      </patternFill>
    </fill>
    <fill>
      <patternFill patternType="solid">
        <fgColor rgb="FF2D6A4F"/>
        <bgColor rgb="FF4A5568"/>
      </patternFill>
    </fill>
    <fill>
      <patternFill patternType="solid">
        <fgColor rgb="FFEBF1F7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52B788"/>
        <bgColor rgb="FF33CC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0C8D8"/>
      </left>
      <right style="thin">
        <color rgb="FFC0C8D8"/>
      </right>
      <top style="thin">
        <color rgb="FFC0C8D8"/>
      </top>
      <bottom style="thin">
        <color rgb="FFC0C8D8"/>
      </bottom>
      <diagonal/>
    </border>
    <border diagonalUp="false" diagonalDown="false">
      <left/>
      <right/>
      <top/>
      <bottom style="thin">
        <color rgb="FFC0C8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4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2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2D6A4F"/>
      <rgbColor rgb="FFC0C8D8"/>
      <rgbColor rgb="FF808080"/>
      <rgbColor rgb="FF9999FF"/>
      <rgbColor rgb="FF993366"/>
      <rgbColor rgb="FFFFFFCC"/>
      <rgbColor rgb="FFEBF1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5568"/>
      <rgbColor rgb="FF969696"/>
      <rgbColor rgb="FF1A2C4E"/>
      <rgbColor rgb="FF52B78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5"/>
    <col collapsed="false" customWidth="true" hidden="false" outlineLevel="0" max="3" min="3" style="1" width="45"/>
    <col collapsed="false" customWidth="true" hidden="false" outlineLevel="0" max="4" min="4" style="1" width="20"/>
  </cols>
  <sheetData>
    <row r="2" customFormat="false" ht="34.5" hidden="false" customHeight="true" outlineLevel="0" collapsed="false">
      <c r="B2" s="2" t="s">
        <v>0</v>
      </c>
      <c r="C2" s="2"/>
      <c r="D2" s="2"/>
    </row>
    <row r="3" customFormat="false" ht="15" hidden="false" customHeight="true" outlineLevel="0" collapsed="false">
      <c r="B3" s="3" t="s">
        <v>1</v>
      </c>
      <c r="C3" s="3"/>
      <c r="D3" s="3"/>
    </row>
    <row r="5" customFormat="false" ht="15.75" hidden="false" customHeight="true" outlineLevel="0" collapsed="false">
      <c r="B5" s="4"/>
      <c r="C5" s="5"/>
    </row>
    <row r="6" customFormat="false" ht="15.75" hidden="false" customHeight="true" outlineLevel="0" collapsed="false">
      <c r="B6" s="4" t="s">
        <v>2</v>
      </c>
      <c r="C6" s="5" t="s">
        <v>3</v>
      </c>
    </row>
    <row r="7" customFormat="false" ht="15.75" hidden="false" customHeight="true" outlineLevel="0" collapsed="false">
      <c r="B7" s="4" t="s">
        <v>4</v>
      </c>
      <c r="C7" s="5" t="s">
        <v>5</v>
      </c>
    </row>
    <row r="8" customFormat="false" ht="15.75" hidden="false" customHeight="true" outlineLevel="0" collapsed="false">
      <c r="B8" s="4" t="s">
        <v>6</v>
      </c>
      <c r="C8" s="5" t="s">
        <v>7</v>
      </c>
    </row>
    <row r="9" customFormat="false" ht="15.75" hidden="false" customHeight="true" outlineLevel="0" collapsed="false">
      <c r="B9" s="4" t="s">
        <v>8</v>
      </c>
      <c r="C9" s="5" t="s">
        <v>9</v>
      </c>
    </row>
    <row r="10" customFormat="false" ht="15.75" hidden="false" customHeight="true" outlineLevel="0" collapsed="false">
      <c r="B10" s="4" t="s">
        <v>10</v>
      </c>
      <c r="C10" s="5" t="s">
        <v>11</v>
      </c>
    </row>
    <row r="11" customFormat="false" ht="15.75" hidden="false" customHeight="true" outlineLevel="0" collapsed="false">
      <c r="B11" s="4" t="s">
        <v>12</v>
      </c>
      <c r="C11" s="5" t="s">
        <v>13</v>
      </c>
    </row>
    <row r="12" customFormat="false" ht="15.75" hidden="false" customHeight="true" outlineLevel="0" collapsed="false">
      <c r="B12" s="4" t="s">
        <v>14</v>
      </c>
      <c r="C12" s="5" t="s">
        <v>15</v>
      </c>
    </row>
    <row r="13" customFormat="false" ht="15.75" hidden="false" customHeight="true" outlineLevel="0" collapsed="false">
      <c r="B13" s="4" t="s">
        <v>16</v>
      </c>
      <c r="C13" s="5" t="s">
        <v>17</v>
      </c>
    </row>
    <row r="14" customFormat="false" ht="15.75" hidden="false" customHeight="true" outlineLevel="0" collapsed="false">
      <c r="B14" s="4"/>
      <c r="C14" s="5"/>
    </row>
    <row r="15" customFormat="false" ht="15.75" hidden="false" customHeight="true" outlineLevel="0" collapsed="false">
      <c r="B15" s="6" t="s">
        <v>18</v>
      </c>
      <c r="C15" s="6"/>
      <c r="D15" s="6"/>
    </row>
    <row r="16" customFormat="false" ht="15.75" hidden="false" customHeight="true" outlineLevel="0" collapsed="false">
      <c r="B16" s="7" t="s">
        <v>19</v>
      </c>
      <c r="C16" s="8" t="s">
        <v>20</v>
      </c>
    </row>
    <row r="17" customFormat="false" ht="15.75" hidden="false" customHeight="true" outlineLevel="0" collapsed="false">
      <c r="B17" s="7" t="s">
        <v>21</v>
      </c>
      <c r="C17" s="8" t="s">
        <v>22</v>
      </c>
    </row>
    <row r="18" customFormat="false" ht="15.75" hidden="false" customHeight="true" outlineLevel="0" collapsed="false">
      <c r="B18" s="7" t="s">
        <v>23</v>
      </c>
      <c r="C18" s="8" t="s">
        <v>24</v>
      </c>
    </row>
    <row r="19" customFormat="false" ht="15.75" hidden="false" customHeight="true" outlineLevel="0" collapsed="false">
      <c r="B19" s="7" t="s">
        <v>25</v>
      </c>
      <c r="C19" s="8" t="s">
        <v>26</v>
      </c>
    </row>
    <row r="20" customFormat="false" ht="15.75" hidden="false" customHeight="true" outlineLevel="0" collapsed="false">
      <c r="B20" s="7" t="s">
        <v>27</v>
      </c>
      <c r="C20" s="8" t="s">
        <v>28</v>
      </c>
    </row>
    <row r="21" customFormat="false" ht="15.75" hidden="false" customHeight="true" outlineLevel="0" collapsed="false">
      <c r="B21" s="4"/>
      <c r="C21" s="5"/>
    </row>
    <row r="22" customFormat="false" ht="15.75" hidden="false" customHeight="true" outlineLevel="0" collapsed="false">
      <c r="B22" s="6" t="s">
        <v>29</v>
      </c>
      <c r="C22" s="6"/>
      <c r="D22" s="6"/>
    </row>
    <row r="23" customFormat="false" ht="15.75" hidden="false" customHeight="true" outlineLevel="0" collapsed="false">
      <c r="B23" s="4" t="s">
        <v>30</v>
      </c>
      <c r="C23" s="9" t="s">
        <v>31</v>
      </c>
    </row>
    <row r="24" customFormat="false" ht="15.75" hidden="false" customHeight="true" outlineLevel="0" collapsed="false">
      <c r="B24" s="4" t="s">
        <v>32</v>
      </c>
      <c r="C24" s="10" t="s">
        <v>33</v>
      </c>
    </row>
    <row r="25" customFormat="false" ht="15.75" hidden="false" customHeight="true" outlineLevel="0" collapsed="false">
      <c r="B25" s="4" t="s">
        <v>34</v>
      </c>
      <c r="C25" s="11" t="s">
        <v>35</v>
      </c>
    </row>
    <row r="26" customFormat="false" ht="15.75" hidden="false" customHeight="true" outlineLevel="0" collapsed="false">
      <c r="B26" s="4" t="s">
        <v>36</v>
      </c>
      <c r="C26" s="12" t="s">
        <v>37</v>
      </c>
    </row>
    <row r="27" customFormat="false" ht="15.75" hidden="false" customHeight="true" outlineLevel="0" collapsed="false">
      <c r="B27" s="4"/>
      <c r="C27" s="5"/>
    </row>
    <row r="28" customFormat="false" ht="15.75" hidden="false" customHeight="true" outlineLevel="0" collapsed="false">
      <c r="B28" s="6" t="s">
        <v>38</v>
      </c>
      <c r="C28" s="6"/>
      <c r="D28" s="6"/>
    </row>
    <row r="29" customFormat="false" ht="15.75" hidden="false" customHeight="true" outlineLevel="0" collapsed="false">
      <c r="B29" s="4"/>
      <c r="C29" s="5" t="s">
        <v>39</v>
      </c>
    </row>
    <row r="30" customFormat="false" ht="15.75" hidden="false" customHeight="true" outlineLevel="0" collapsed="false">
      <c r="B30" s="4"/>
      <c r="C30" s="5" t="s">
        <v>40</v>
      </c>
    </row>
  </sheetData>
  <mergeCells count="5">
    <mergeCell ref="B2:D2"/>
    <mergeCell ref="B3:D3"/>
    <mergeCell ref="B15:D15"/>
    <mergeCell ref="B22:D22"/>
    <mergeCell ref="B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4"/>
    <col collapsed="false" customWidth="true" hidden="false" outlineLevel="0" max="6" min="4" style="1" width="14"/>
    <col collapsed="false" customWidth="true" hidden="false" outlineLevel="0" max="7" min="7" style="1" width="4"/>
    <col collapsed="false" customWidth="true" hidden="false" outlineLevel="0" max="10" min="8" style="1" width="14"/>
    <col collapsed="false" customWidth="true" hidden="false" outlineLevel="0" max="11" min="11" style="1" width="4"/>
  </cols>
  <sheetData>
    <row r="1" customFormat="false" ht="27.75" hidden="false" customHeight="true" outlineLevel="0" collapsed="false">
      <c r="B1" s="13" t="s">
        <v>41</v>
      </c>
      <c r="C1" s="13"/>
      <c r="D1" s="13"/>
      <c r="E1" s="13"/>
      <c r="F1" s="13"/>
      <c r="G1" s="13"/>
      <c r="H1" s="13"/>
      <c r="I1" s="13"/>
      <c r="J1" s="13"/>
    </row>
    <row r="2" customFormat="false" ht="15" hidden="false" customHeight="true" outlineLevel="0" collapsed="false">
      <c r="B2" s="14" t="s">
        <v>42</v>
      </c>
      <c r="C2" s="14"/>
      <c r="D2" s="14"/>
      <c r="E2" s="14"/>
      <c r="F2" s="14"/>
      <c r="G2" s="14"/>
      <c r="H2" s="14"/>
      <c r="I2" s="14"/>
      <c r="J2" s="14"/>
    </row>
    <row r="4" customFormat="false" ht="19.5" hidden="false" customHeight="true" outlineLevel="0" collapsed="false">
      <c r="A4" s="15"/>
      <c r="B4" s="15" t="s">
        <v>43</v>
      </c>
      <c r="C4" s="15"/>
      <c r="D4" s="15" t="s">
        <v>44</v>
      </c>
      <c r="E4" s="15" t="s">
        <v>45</v>
      </c>
      <c r="F4" s="15" t="s">
        <v>46</v>
      </c>
      <c r="G4" s="15"/>
      <c r="H4" s="15" t="s">
        <v>47</v>
      </c>
      <c r="I4" s="15" t="s">
        <v>48</v>
      </c>
      <c r="J4" s="15" t="s">
        <v>49</v>
      </c>
      <c r="K4" s="15"/>
    </row>
    <row r="5" customFormat="false" ht="16.5" hidden="false" customHeight="true" outlineLevel="0" collapsed="false">
      <c r="B5" s="16" t="s">
        <v>50</v>
      </c>
      <c r="C5" s="16"/>
      <c r="D5" s="16"/>
      <c r="E5" s="16"/>
      <c r="F5" s="16"/>
      <c r="G5" s="16"/>
      <c r="H5" s="16"/>
      <c r="I5" s="16"/>
      <c r="J5" s="16"/>
    </row>
    <row r="6" customFormat="false" ht="16.5" hidden="false" customHeight="true" outlineLevel="0" collapsed="false">
      <c r="B6" s="17" t="s">
        <v>51</v>
      </c>
      <c r="D6" s="18" t="n">
        <v>100.8</v>
      </c>
      <c r="E6" s="18" t="n">
        <v>91.4</v>
      </c>
      <c r="F6" s="18" t="n">
        <v>95.2</v>
      </c>
      <c r="H6" s="19" t="n">
        <f aca="false">IFERROR((E6-D6)/ABS(D6),"-")</f>
        <v>-0.0932539682539682</v>
      </c>
      <c r="I6" s="19" t="n">
        <f aca="false">IFERROR((F6-E6)/ABS(E6),"-")</f>
        <v>0.0415754923413566</v>
      </c>
      <c r="J6" s="19" t="n">
        <f aca="false">IFERROR((F6/D6)^(1/2)-1,"-")</f>
        <v>-0.0281746841924498</v>
      </c>
      <c r="K6" s="20" t="s">
        <v>52</v>
      </c>
    </row>
    <row r="7" customFormat="false" ht="16.5" hidden="false" customHeight="true" outlineLevel="0" collapsed="false">
      <c r="B7" s="21" t="s">
        <v>53</v>
      </c>
      <c r="D7" s="22" t="n">
        <v>47.4</v>
      </c>
      <c r="E7" s="22" t="n">
        <v>43.5</v>
      </c>
      <c r="F7" s="22" t="n">
        <v>49.8</v>
      </c>
      <c r="H7" s="23" t="n">
        <f aca="false">IFERROR((E7-D7)/ABS(D7),"-")</f>
        <v>-0.0822784810126582</v>
      </c>
      <c r="I7" s="23" t="n">
        <f aca="false">IFERROR((F7-E7)/ABS(E7),"-")</f>
        <v>0.144827586206896</v>
      </c>
      <c r="J7" s="23" t="n">
        <f aca="false">IFERROR((F7/D7)^(1/2)-1,"-")</f>
        <v>0.0250038592085422</v>
      </c>
      <c r="K7" s="20" t="s">
        <v>54</v>
      </c>
    </row>
    <row r="8" customFormat="false" ht="16.5" hidden="false" customHeight="true" outlineLevel="0" collapsed="false">
      <c r="B8" s="21" t="s">
        <v>55</v>
      </c>
      <c r="D8" s="22" t="n">
        <v>28.8</v>
      </c>
      <c r="E8" s="22" t="n">
        <v>26</v>
      </c>
      <c r="F8" s="22" t="n">
        <v>27.1</v>
      </c>
      <c r="H8" s="23" t="n">
        <f aca="false">IFERROR((E8-D8)/ABS(D8),"-")</f>
        <v>-0.0972222222222222</v>
      </c>
      <c r="I8" s="23" t="n">
        <f aca="false">IFERROR((F8-E8)/ABS(E8),"-")</f>
        <v>0.0423076923076924</v>
      </c>
      <c r="J8" s="23" t="n">
        <f aca="false">IFERROR((F8/D8)^(1/2)-1,"-")</f>
        <v>-0.0299627727647653</v>
      </c>
      <c r="K8" s="20" t="s">
        <v>56</v>
      </c>
    </row>
    <row r="9" customFormat="false" ht="16.5" hidden="false" customHeight="true" outlineLevel="0" collapsed="false">
      <c r="B9" s="21" t="s">
        <v>57</v>
      </c>
      <c r="D9" s="22" t="n">
        <v>21.5</v>
      </c>
      <c r="E9" s="22" t="n">
        <v>19.5</v>
      </c>
      <c r="F9" s="22" t="n">
        <v>16.7</v>
      </c>
      <c r="H9" s="23" t="n">
        <f aca="false">IFERROR((E9-D9)/ABS(D9),"-")</f>
        <v>-0.0930232558139535</v>
      </c>
      <c r="I9" s="23" t="n">
        <f aca="false">IFERROR((F9-E9)/ABS(E9),"-")</f>
        <v>-0.143589743589744</v>
      </c>
      <c r="J9" s="23" t="n">
        <f aca="false">IFERROR((F9/D9)^(1/2)-1,"-")</f>
        <v>-0.118669082553828</v>
      </c>
      <c r="K9" s="20" t="s">
        <v>58</v>
      </c>
    </row>
    <row r="10" customFormat="false" ht="16.5" hidden="false" customHeight="true" outlineLevel="0" collapsed="false">
      <c r="B10" s="24" t="s">
        <v>59</v>
      </c>
      <c r="D10" s="23" t="n">
        <f aca="false">D9/D6</f>
        <v>0.213293650793651</v>
      </c>
      <c r="E10" s="23" t="n">
        <f aca="false">E9/E6</f>
        <v>0.213347921225383</v>
      </c>
      <c r="F10" s="23" t="n">
        <f aca="false">F9/F6</f>
        <v>0.175420168067227</v>
      </c>
    </row>
    <row r="11" customFormat="false" ht="16.5" hidden="false" customHeight="true" outlineLevel="0" collapsed="false">
      <c r="B11" s="21"/>
      <c r="D11" s="23" t="n">
        <f aca="false">D10/D6</f>
        <v>0.0021160084404132</v>
      </c>
      <c r="E11" s="23" t="n">
        <f aca="false">E10/E6</f>
        <v>0.00233422233288165</v>
      </c>
      <c r="F11" s="23" t="n">
        <f aca="false">F10/F6</f>
        <v>0.00184264882423558</v>
      </c>
    </row>
    <row r="12" customFormat="false" ht="16.5" hidden="false" customHeight="true" outlineLevel="0" collapsed="false">
      <c r="B12" s="16" t="s">
        <v>60</v>
      </c>
      <c r="C12" s="16"/>
      <c r="D12" s="16"/>
      <c r="E12" s="16"/>
      <c r="F12" s="16"/>
      <c r="G12" s="16"/>
      <c r="H12" s="16"/>
      <c r="I12" s="16"/>
      <c r="J12" s="16"/>
    </row>
    <row r="13" customFormat="false" ht="16.5" hidden="false" customHeight="true" outlineLevel="0" collapsed="false">
      <c r="B13" s="21" t="s">
        <v>61</v>
      </c>
      <c r="D13" s="22" t="n">
        <v>55.4</v>
      </c>
      <c r="E13" s="22" t="n">
        <v>46.6</v>
      </c>
      <c r="F13" s="22" t="n">
        <v>50.4</v>
      </c>
      <c r="H13" s="23" t="n">
        <f aca="false">IFERROR((E13-D13)/ABS(D13),"-")</f>
        <v>-0.15884476534296</v>
      </c>
      <c r="I13" s="23" t="n">
        <f aca="false">IFERROR((F13-E13)/ABS(E13),"-")</f>
        <v>0.0815450643776823</v>
      </c>
      <c r="J13" s="23" t="n">
        <f aca="false">IFERROR((F13/D13)^(1/2)-1,"-")</f>
        <v>-0.0461932625427871</v>
      </c>
      <c r="K13" s="20" t="s">
        <v>62</v>
      </c>
    </row>
    <row r="14" customFormat="false" ht="16.5" hidden="false" customHeight="true" outlineLevel="0" collapsed="false">
      <c r="B14" s="24" t="s">
        <v>63</v>
      </c>
      <c r="D14" s="23" t="n">
        <f aca="false">D13/D6</f>
        <v>0.549603174603175</v>
      </c>
      <c r="E14" s="23" t="n">
        <f aca="false">E13/E6</f>
        <v>0.509846827133479</v>
      </c>
      <c r="F14" s="23" t="n">
        <f aca="false">F13/F6</f>
        <v>0.529411764705882</v>
      </c>
    </row>
    <row r="15" customFormat="false" ht="16.5" hidden="false" customHeight="true" outlineLevel="0" collapsed="false">
      <c r="B15" s="21" t="s">
        <v>64</v>
      </c>
      <c r="D15" s="22" t="n">
        <v>12.1</v>
      </c>
      <c r="E15" s="22" t="n">
        <v>10.9</v>
      </c>
      <c r="F15" s="22" t="n">
        <v>11.4</v>
      </c>
      <c r="H15" s="23" t="n">
        <f aca="false">IFERROR((E15-D15)/ABS(D15),"-")</f>
        <v>-0.0991735537190082</v>
      </c>
      <c r="I15" s="23" t="n">
        <f aca="false">IFERROR((F15-E15)/ABS(E15),"-")</f>
        <v>0.0458715596330275</v>
      </c>
      <c r="J15" s="23" t="n">
        <f aca="false">IFERROR((F15/D15)^(1/2)-1,"-")</f>
        <v>-0.029356522542608</v>
      </c>
      <c r="K15" s="20" t="s">
        <v>65</v>
      </c>
    </row>
    <row r="16" customFormat="false" ht="16.5" hidden="false" customHeight="true" outlineLevel="0" collapsed="false">
      <c r="B16" s="24" t="s">
        <v>66</v>
      </c>
      <c r="D16" s="23" t="n">
        <f aca="false">D15/D6</f>
        <v>0.120039682539683</v>
      </c>
      <c r="E16" s="23" t="n">
        <f aca="false">E15/E6</f>
        <v>0.11925601750547</v>
      </c>
      <c r="F16" s="23" t="n">
        <f aca="false">F15/F6</f>
        <v>0.119747899159664</v>
      </c>
    </row>
    <row r="17" customFormat="false" ht="16.5" hidden="false" customHeight="true" outlineLevel="0" collapsed="false">
      <c r="B17" s="21" t="s">
        <v>67</v>
      </c>
      <c r="D17" s="22" t="n">
        <v>18.7</v>
      </c>
      <c r="E17" s="22" t="n">
        <v>25</v>
      </c>
      <c r="F17" s="22" t="n">
        <v>23.3</v>
      </c>
      <c r="H17" s="23" t="n">
        <f aca="false">IFERROR((E17-D17)/ABS(D17),"-")</f>
        <v>0.336898395721925</v>
      </c>
      <c r="I17" s="23" t="n">
        <f aca="false">IFERROR((F17-E17)/ABS(E17),"-")</f>
        <v>-0.068</v>
      </c>
      <c r="J17" s="23" t="n">
        <f aca="false">IFERROR((F17/D17)^(1/2)-1,"-")</f>
        <v>0.11623891027541</v>
      </c>
      <c r="K17" s="20" t="s">
        <v>68</v>
      </c>
    </row>
    <row r="18" customFormat="false" ht="16.5" hidden="false" customHeight="true" outlineLevel="0" collapsed="false">
      <c r="B18" s="24" t="s">
        <v>66</v>
      </c>
      <c r="D18" s="23" t="n">
        <f aca="false">D17/D6</f>
        <v>0.185515873015873</v>
      </c>
      <c r="E18" s="23" t="n">
        <f aca="false">E17/E6</f>
        <v>0.273522975929978</v>
      </c>
      <c r="F18" s="23" t="n">
        <f aca="false">F17/F6</f>
        <v>0.244747899159664</v>
      </c>
    </row>
    <row r="19" customFormat="false" ht="16.5" hidden="false" customHeight="true" outlineLevel="0" collapsed="false">
      <c r="B19" s="21"/>
      <c r="D19" s="23" t="n">
        <f aca="false">D18/D6</f>
        <v>0.00184043524817334</v>
      </c>
      <c r="E19" s="23" t="n">
        <f aca="false">E18/E6</f>
        <v>0.00299259273446366</v>
      </c>
      <c r="F19" s="23" t="n">
        <f aca="false">F18/F6</f>
        <v>0.00257088129369395</v>
      </c>
    </row>
    <row r="20" customFormat="false" ht="16.5" hidden="false" customHeight="true" outlineLevel="0" collapsed="false">
      <c r="B20" s="16" t="s">
        <v>69</v>
      </c>
      <c r="C20" s="16"/>
      <c r="D20" s="16"/>
      <c r="E20" s="16"/>
      <c r="F20" s="16"/>
      <c r="G20" s="16"/>
      <c r="H20" s="16"/>
      <c r="I20" s="16"/>
      <c r="J20" s="16"/>
    </row>
    <row r="21" customFormat="false" ht="16.5" hidden="false" customHeight="true" outlineLevel="0" collapsed="false">
      <c r="B21" s="17" t="s">
        <v>70</v>
      </c>
      <c r="D21" s="18" t="n">
        <v>24.6</v>
      </c>
      <c r="E21" s="18" t="n">
        <v>10.7</v>
      </c>
      <c r="F21" s="18" t="n">
        <v>16.3</v>
      </c>
      <c r="H21" s="19" t="n">
        <f aca="false">IFERROR((E21-D21)/ABS(D21),"-")</f>
        <v>-0.565040650406504</v>
      </c>
      <c r="I21" s="19" t="n">
        <f aca="false">IFERROR((F21-E21)/ABS(E21),"-")</f>
        <v>0.523364485981309</v>
      </c>
      <c r="J21" s="19" t="n">
        <f aca="false">IFERROR((F21/D21)^(1/2)-1,"-")</f>
        <v>-0.185996544223392</v>
      </c>
      <c r="K21" s="20" t="s">
        <v>71</v>
      </c>
    </row>
    <row r="22" customFormat="false" ht="16.5" hidden="false" customHeight="true" outlineLevel="0" collapsed="false">
      <c r="B22" s="24" t="s">
        <v>72</v>
      </c>
      <c r="D22" s="23" t="n">
        <f aca="false">D21/D6</f>
        <v>0.244047619047619</v>
      </c>
      <c r="E22" s="23" t="n">
        <f aca="false">E21/E6</f>
        <v>0.117067833698031</v>
      </c>
      <c r="F22" s="23" t="n">
        <f aca="false">F21/F6</f>
        <v>0.171218487394958</v>
      </c>
    </row>
    <row r="23" customFormat="false" ht="16.5" hidden="false" customHeight="true" outlineLevel="0" collapsed="false">
      <c r="B23" s="21" t="s">
        <v>73</v>
      </c>
      <c r="D23" s="22" t="n">
        <v>10.8</v>
      </c>
      <c r="E23" s="22" t="n">
        <v>10.7</v>
      </c>
      <c r="F23" s="22" t="n">
        <v>10.8</v>
      </c>
      <c r="H23" s="23" t="n">
        <f aca="false">IFERROR((E23-D23)/ABS(D23),"-")</f>
        <v>-0.00925925925925939</v>
      </c>
      <c r="I23" s="23" t="n">
        <f aca="false">IFERROR((F23-E23)/ABS(E23),"-")</f>
        <v>0.0093457943925235</v>
      </c>
      <c r="J23" s="23" t="n">
        <f aca="false">IFERROR((F23/D23)^(1/2)-1,"-")</f>
        <v>0</v>
      </c>
      <c r="K23" s="20" t="s">
        <v>74</v>
      </c>
    </row>
    <row r="24" customFormat="false" ht="16.5" hidden="false" customHeight="true" outlineLevel="0" collapsed="false">
      <c r="B24" s="21"/>
      <c r="D24" s="23" t="n">
        <f aca="false">D23/D6</f>
        <v>0.107142857142857</v>
      </c>
      <c r="E24" s="23" t="n">
        <f aca="false">E23/E6</f>
        <v>0.117067833698031</v>
      </c>
      <c r="F24" s="23" t="n">
        <f aca="false">F23/F6</f>
        <v>0.113445378151261</v>
      </c>
    </row>
    <row r="25" customFormat="false" ht="16.5" hidden="false" customHeight="true" outlineLevel="0" collapsed="false">
      <c r="B25" s="16" t="s">
        <v>75</v>
      </c>
      <c r="C25" s="16"/>
      <c r="D25" s="16"/>
      <c r="E25" s="16"/>
      <c r="F25" s="16"/>
      <c r="G25" s="16"/>
      <c r="H25" s="16"/>
      <c r="I25" s="16"/>
      <c r="J25" s="16"/>
    </row>
    <row r="26" customFormat="false" ht="16.5" hidden="false" customHeight="true" outlineLevel="0" collapsed="false">
      <c r="B26" s="17" t="s">
        <v>76</v>
      </c>
      <c r="D26" s="18" t="n">
        <v>13.8</v>
      </c>
      <c r="E26" s="18" t="n">
        <v>0.009</v>
      </c>
      <c r="F26" s="18" t="n">
        <v>5.5</v>
      </c>
      <c r="H26" s="19" t="n">
        <f aca="false">IFERROR((E26-D26)/ABS(D26),"-")</f>
        <v>-0.999347826086957</v>
      </c>
      <c r="I26" s="19" t="n">
        <f aca="false">IFERROR((F26-E26)/ABS(E26),"-")</f>
        <v>610.111111111111</v>
      </c>
      <c r="J26" s="19" t="n">
        <f aca="false">IFERROR((F26/D26)^(1/2)-1,"-")</f>
        <v>-0.368691260445667</v>
      </c>
      <c r="K26" s="20" t="s">
        <v>71</v>
      </c>
    </row>
    <row r="27" customFormat="false" ht="16.5" hidden="false" customHeight="true" outlineLevel="0" collapsed="false">
      <c r="B27" s="24" t="s">
        <v>77</v>
      </c>
      <c r="D27" s="23" t="n">
        <f aca="false">D26/D6</f>
        <v>0.136904761904762</v>
      </c>
      <c r="E27" s="23" t="n">
        <f aca="false">E26/E6</f>
        <v>9.84682713347921E-005</v>
      </c>
      <c r="F27" s="23" t="n">
        <f aca="false">F26/F6</f>
        <v>0.0577731092436975</v>
      </c>
    </row>
    <row r="28" customFormat="false" ht="16.5" hidden="false" customHeight="true" outlineLevel="0" collapsed="false">
      <c r="B28" s="21"/>
      <c r="D28" s="23" t="n">
        <f aca="false">D27/D6</f>
        <v>0.00135818216175359</v>
      </c>
      <c r="E28" s="23" t="n">
        <f aca="false">E27/E6</f>
        <v>1.07733338440692E-006</v>
      </c>
      <c r="F28" s="23" t="n">
        <f aca="false">F27/F6</f>
        <v>0.00060686039121531</v>
      </c>
    </row>
    <row r="29" customFormat="false" ht="16.5" hidden="false" customHeight="true" outlineLevel="0" collapsed="false">
      <c r="B29" s="16" t="s">
        <v>78</v>
      </c>
      <c r="C29" s="16"/>
      <c r="D29" s="16"/>
      <c r="E29" s="16"/>
      <c r="F29" s="16"/>
      <c r="G29" s="16"/>
      <c r="H29" s="16"/>
      <c r="I29" s="16"/>
      <c r="J29" s="16"/>
    </row>
    <row r="30" customFormat="false" ht="16.5" hidden="false" customHeight="true" outlineLevel="0" collapsed="false">
      <c r="B30" s="21" t="s">
        <v>79</v>
      </c>
      <c r="D30" s="22" t="n">
        <v>0.9</v>
      </c>
      <c r="E30" s="22" t="n">
        <v>-0.76</v>
      </c>
      <c r="F30" s="22" t="n">
        <v>-0.5</v>
      </c>
      <c r="H30" s="23" t="n">
        <f aca="false">IFERROR((E30-D30)/ABS(D30),"-")</f>
        <v>-1.84444444444444</v>
      </c>
      <c r="I30" s="23" t="n">
        <f aca="false">IFERROR((F30-E30)/ABS(E30),"-")</f>
        <v>0.342105263157895</v>
      </c>
      <c r="J30" s="23" t="str">
        <f aca="false">IFERROR((F30/D30)^(1/2)-1,"-")</f>
        <v>-</v>
      </c>
      <c r="K30" s="20" t="s">
        <v>80</v>
      </c>
    </row>
    <row r="31" customFormat="false" ht="16.5" hidden="false" customHeight="true" outlineLevel="0" collapsed="false">
      <c r="B31" s="21" t="s">
        <v>81</v>
      </c>
      <c r="D31" s="22" t="n">
        <v>0</v>
      </c>
      <c r="E31" s="22" t="n">
        <v>0.58</v>
      </c>
      <c r="F31" s="22" t="n">
        <v>0</v>
      </c>
      <c r="H31" s="23" t="str">
        <f aca="false">IFERROR((E31-D31)/ABS(D31),"-")</f>
        <v>-</v>
      </c>
      <c r="I31" s="23" t="n">
        <f aca="false">IFERROR((F31-E31)/ABS(E31),"-")</f>
        <v>-1</v>
      </c>
      <c r="J31" s="23" t="str">
        <f aca="false">IFERROR((F31/D31)^(1/2)-1,"-")</f>
        <v>-</v>
      </c>
      <c r="K31" s="20" t="s">
        <v>82</v>
      </c>
    </row>
    <row r="32" customFormat="false" ht="16.5" hidden="false" customHeight="true" outlineLevel="0" collapsed="false">
      <c r="B32" s="21" t="s">
        <v>83</v>
      </c>
      <c r="D32" s="22" t="n">
        <v>3.2</v>
      </c>
      <c r="E32" s="22" t="n">
        <v>0.13</v>
      </c>
      <c r="F32" s="22" t="n">
        <v>1.8</v>
      </c>
      <c r="H32" s="23" t="n">
        <f aca="false">IFERROR((E32-D32)/ABS(D32),"-")</f>
        <v>-0.959375</v>
      </c>
      <c r="I32" s="23" t="n">
        <f aca="false">IFERROR((F32-E32)/ABS(E32),"-")</f>
        <v>12.8461538461538</v>
      </c>
      <c r="J32" s="23" t="n">
        <f aca="false">IFERROR((F32/D32)^(1/2)-1,"-")</f>
        <v>-0.25</v>
      </c>
      <c r="K32" s="20" t="s">
        <v>84</v>
      </c>
    </row>
    <row r="33" customFormat="false" ht="16.5" hidden="false" customHeight="true" outlineLevel="0" collapsed="false">
      <c r="B33" s="17" t="s">
        <v>85</v>
      </c>
      <c r="D33" s="18" t="n">
        <v>9.7</v>
      </c>
      <c r="E33" s="18" t="n">
        <v>-0.3</v>
      </c>
      <c r="F33" s="18" t="n">
        <v>3.5</v>
      </c>
      <c r="H33" s="19" t="n">
        <f aca="false">IFERROR((E33-D33)/ABS(D33),"-")</f>
        <v>-1.03092783505155</v>
      </c>
      <c r="I33" s="19" t="n">
        <f aca="false">IFERROR((F33-E33)/ABS(E33),"-")</f>
        <v>12.6666666666667</v>
      </c>
      <c r="J33" s="19" t="n">
        <f aca="false">IFERROR((F33/D33)^(1/2)-1,"-")</f>
        <v>-0.399313107960527</v>
      </c>
      <c r="K33" s="20" t="s">
        <v>71</v>
      </c>
    </row>
    <row r="34" customFormat="false" ht="16.5" hidden="false" customHeight="true" outlineLevel="0" collapsed="false">
      <c r="B34" s="24" t="s">
        <v>86</v>
      </c>
      <c r="D34" s="23" t="n">
        <f aca="false">D33/D6</f>
        <v>0.0962301587301587</v>
      </c>
      <c r="E34" s="23" t="n">
        <f aca="false">E33/E6</f>
        <v>-0.00328227571115974</v>
      </c>
      <c r="F34" s="23" t="n">
        <f aca="false">F33/F6</f>
        <v>0.0367647058823529</v>
      </c>
    </row>
    <row r="35" customFormat="false" ht="16.5" hidden="false" customHeight="true" outlineLevel="0" collapsed="false">
      <c r="B35" s="21"/>
      <c r="D35" s="23" t="n">
        <f aca="false">D34/D6</f>
        <v>0.000954664273116654</v>
      </c>
      <c r="E35" s="23" t="n">
        <f aca="false">E34/E6</f>
        <v>-3.59111128135639E-005</v>
      </c>
      <c r="F35" s="23" t="n">
        <f aca="false">F34/F6</f>
        <v>0.000386183885318833</v>
      </c>
    </row>
    <row r="36" customFormat="false" ht="16.5" hidden="false" customHeight="true" outlineLevel="0" collapsed="false">
      <c r="B36" s="16" t="s">
        <v>87</v>
      </c>
      <c r="C36" s="16"/>
      <c r="D36" s="16"/>
      <c r="E36" s="16"/>
      <c r="F36" s="16"/>
      <c r="G36" s="16"/>
      <c r="H36" s="16"/>
      <c r="I36" s="16"/>
      <c r="J36" s="16"/>
    </row>
    <row r="37" customFormat="false" ht="16.5" hidden="false" customHeight="true" outlineLevel="0" collapsed="false">
      <c r="B37" s="21" t="s">
        <v>88</v>
      </c>
      <c r="D37" s="22" t="n">
        <v>22</v>
      </c>
      <c r="E37" s="22" t="n">
        <v>16.1</v>
      </c>
      <c r="F37" s="22" t="n">
        <v>12.5</v>
      </c>
      <c r="H37" s="23" t="n">
        <f aca="false">IFERROR((E37-D37)/ABS(D37),"-")</f>
        <v>-0.268181818181818</v>
      </c>
      <c r="I37" s="23" t="n">
        <f aca="false">IFERROR((F37-E37)/ABS(E37),"-")</f>
        <v>-0.22360248447205</v>
      </c>
      <c r="J37" s="23" t="n">
        <f aca="false">IFERROR((F37/D37)^(1/2)-1,"-")</f>
        <v>-0.246221638555591</v>
      </c>
      <c r="K37" s="20" t="s">
        <v>89</v>
      </c>
    </row>
    <row r="38" customFormat="false" ht="16.5" hidden="false" customHeight="true" outlineLevel="0" collapsed="false">
      <c r="B38" s="21" t="s">
        <v>90</v>
      </c>
      <c r="D38" s="22" t="n">
        <v>-8</v>
      </c>
      <c r="E38" s="22" t="n">
        <v>-8</v>
      </c>
      <c r="F38" s="22" t="n">
        <v>-5</v>
      </c>
      <c r="H38" s="23" t="n">
        <f aca="false">IFERROR((E38-D38)/ABS(D38),"-")</f>
        <v>0</v>
      </c>
      <c r="I38" s="23" t="n">
        <f aca="false">IFERROR((F38-E38)/ABS(E38),"-")</f>
        <v>0.375</v>
      </c>
      <c r="J38" s="23" t="n">
        <f aca="false">IFERROR((F38/D38)^(1/2)-1,"-")</f>
        <v>-0.209430584957905</v>
      </c>
      <c r="K38" s="20" t="s">
        <v>91</v>
      </c>
    </row>
    <row r="39" customFormat="false" ht="16.5" hidden="false" customHeight="true" outlineLevel="0" collapsed="false">
      <c r="B39" s="17" t="s">
        <v>92</v>
      </c>
      <c r="D39" s="25" t="n">
        <f aca="false">D37+D38</f>
        <v>14</v>
      </c>
      <c r="E39" s="25" t="n">
        <f aca="false">E37+E38</f>
        <v>8.1</v>
      </c>
      <c r="F39" s="25" t="n">
        <f aca="false">F37+F38</f>
        <v>7.5</v>
      </c>
      <c r="H39" s="26" t="n">
        <f aca="false">IFERROR((E39-D39)/ABS(D39),"-")</f>
        <v>-0.421428571428571</v>
      </c>
      <c r="I39" s="26" t="n">
        <f aca="false">IFERROR((F39-E39)/ABS(E39),"-")</f>
        <v>-0.0740740740740742</v>
      </c>
      <c r="J39" s="26" t="n">
        <f aca="false">IFERROR((F39/D39)^(1/2)-1,"-")</f>
        <v>-0.2680749452886</v>
      </c>
    </row>
  </sheetData>
  <mergeCells count="8">
    <mergeCell ref="B1:J1"/>
    <mergeCell ref="B2:J2"/>
    <mergeCell ref="B5:J5"/>
    <mergeCell ref="B12:J12"/>
    <mergeCell ref="B20:J20"/>
    <mergeCell ref="B25:J25"/>
    <mergeCell ref="B29:J29"/>
    <mergeCell ref="B36:J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4"/>
    <col collapsed="false" customWidth="true" hidden="false" outlineLevel="0" max="6" min="4" style="1" width="16"/>
    <col collapsed="false" customWidth="true" hidden="false" outlineLevel="0" max="7" min="7" style="1" width="4"/>
    <col collapsed="false" customWidth="true" hidden="false" outlineLevel="0" max="8" min="8" style="1" width="30"/>
  </cols>
  <sheetData>
    <row r="1" customFormat="false" ht="27.75" hidden="false" customHeight="true" outlineLevel="0" collapsed="false">
      <c r="B1" s="13" t="s">
        <v>93</v>
      </c>
      <c r="C1" s="13"/>
      <c r="D1" s="13"/>
      <c r="E1" s="13"/>
      <c r="F1" s="13"/>
      <c r="G1" s="13"/>
      <c r="H1" s="13"/>
    </row>
    <row r="2" customFormat="false" ht="15" hidden="false" customHeight="true" outlineLevel="0" collapsed="false">
      <c r="B2" s="14" t="s">
        <v>94</v>
      </c>
      <c r="C2" s="14"/>
      <c r="D2" s="14"/>
      <c r="E2" s="14"/>
      <c r="F2" s="14"/>
      <c r="G2" s="14"/>
      <c r="H2" s="14"/>
    </row>
    <row r="4" customFormat="false" ht="19.5" hidden="false" customHeight="true" outlineLevel="0" collapsed="false">
      <c r="A4" s="15"/>
      <c r="B4" s="15" t="s">
        <v>95</v>
      </c>
      <c r="C4" s="15"/>
      <c r="D4" s="15" t="s">
        <v>44</v>
      </c>
      <c r="E4" s="15" t="s">
        <v>45</v>
      </c>
      <c r="F4" s="15" t="s">
        <v>46</v>
      </c>
      <c r="G4" s="15"/>
      <c r="H4" s="27" t="s">
        <v>96</v>
      </c>
    </row>
    <row r="5" customFormat="false" ht="16.5" hidden="false" customHeight="true" outlineLevel="0" collapsed="false">
      <c r="B5" s="16" t="s">
        <v>97</v>
      </c>
      <c r="C5" s="16"/>
      <c r="D5" s="16"/>
      <c r="E5" s="16"/>
      <c r="F5" s="16"/>
      <c r="G5" s="16"/>
      <c r="H5" s="16"/>
    </row>
    <row r="6" customFormat="false" ht="30" hidden="false" customHeight="true" outlineLevel="0" collapsed="false">
      <c r="B6" s="17" t="s">
        <v>98</v>
      </c>
      <c r="D6" s="18" t="n">
        <v>24.6</v>
      </c>
      <c r="E6" s="18" t="n">
        <v>10.7</v>
      </c>
      <c r="F6" s="18" t="n">
        <v>16.3</v>
      </c>
      <c r="H6" s="28" t="s">
        <v>99</v>
      </c>
    </row>
    <row r="7" customFormat="false" ht="16.5" hidden="false" customHeight="true" outlineLevel="0" collapsed="false">
      <c r="B7" s="21"/>
      <c r="D7" s="29"/>
      <c r="E7" s="29"/>
      <c r="F7" s="29"/>
      <c r="H7" s="28"/>
    </row>
    <row r="8" customFormat="false" ht="16.5" hidden="false" customHeight="true" outlineLevel="0" collapsed="false">
      <c r="B8" s="16" t="s">
        <v>100</v>
      </c>
      <c r="C8" s="16"/>
      <c r="D8" s="16"/>
      <c r="E8" s="16"/>
      <c r="F8" s="16"/>
      <c r="G8" s="16"/>
      <c r="H8" s="16"/>
    </row>
    <row r="9" customFormat="false" ht="30" hidden="false" customHeight="true" outlineLevel="0" collapsed="false">
      <c r="B9" s="21" t="s">
        <v>101</v>
      </c>
      <c r="D9" s="22" t="n">
        <v>0</v>
      </c>
      <c r="E9" s="22" t="n">
        <v>-0.58</v>
      </c>
      <c r="F9" s="22" t="n">
        <v>0</v>
      </c>
      <c r="H9" s="28" t="s">
        <v>102</v>
      </c>
    </row>
    <row r="10" customFormat="false" ht="30" hidden="false" customHeight="true" outlineLevel="0" collapsed="false">
      <c r="B10" s="21" t="s">
        <v>103</v>
      </c>
      <c r="D10" s="30" t="n">
        <v>0</v>
      </c>
      <c r="E10" s="30" t="n">
        <v>1.5</v>
      </c>
      <c r="F10" s="30" t="n">
        <v>0</v>
      </c>
      <c r="H10" s="28" t="s">
        <v>104</v>
      </c>
    </row>
    <row r="11" customFormat="false" ht="30" hidden="false" customHeight="true" outlineLevel="0" collapsed="false">
      <c r="B11" s="21" t="s">
        <v>105</v>
      </c>
      <c r="D11" s="22" t="n">
        <v>0</v>
      </c>
      <c r="E11" s="22" t="n">
        <v>0</v>
      </c>
      <c r="F11" s="22" t="n">
        <v>0</v>
      </c>
      <c r="H11" s="28" t="s">
        <v>106</v>
      </c>
    </row>
    <row r="12" customFormat="false" ht="30" hidden="false" customHeight="true" outlineLevel="0" collapsed="false">
      <c r="B12" s="21" t="s">
        <v>107</v>
      </c>
      <c r="D12" s="30" t="n">
        <v>0</v>
      </c>
      <c r="E12" s="30" t="n">
        <v>0</v>
      </c>
      <c r="F12" s="30" t="n">
        <v>0</v>
      </c>
      <c r="H12" s="28" t="s">
        <v>108</v>
      </c>
    </row>
    <row r="13" customFormat="false" ht="16.5" hidden="false" customHeight="true" outlineLevel="0" collapsed="false">
      <c r="B13" s="17" t="s">
        <v>109</v>
      </c>
      <c r="D13" s="25" t="n">
        <f aca="false">SUM(D8:D12)</f>
        <v>0</v>
      </c>
      <c r="E13" s="25" t="n">
        <f aca="false">SUM(E8:E12)</f>
        <v>0.92</v>
      </c>
      <c r="F13" s="25" t="n">
        <f aca="false">SUM(F8:F12)</f>
        <v>0</v>
      </c>
      <c r="H13" s="28" t="s">
        <v>110</v>
      </c>
    </row>
    <row r="14" customFormat="false" ht="16.5" hidden="false" customHeight="true" outlineLevel="0" collapsed="false">
      <c r="B14" s="21"/>
      <c r="D14" s="29"/>
      <c r="E14" s="29"/>
      <c r="F14" s="29"/>
      <c r="H14" s="28"/>
    </row>
    <row r="15" customFormat="false" ht="16.5" hidden="false" customHeight="true" outlineLevel="0" collapsed="false">
      <c r="B15" s="16" t="s">
        <v>111</v>
      </c>
      <c r="C15" s="16"/>
      <c r="D15" s="16"/>
      <c r="E15" s="16"/>
      <c r="F15" s="16"/>
      <c r="G15" s="16"/>
      <c r="H15" s="16"/>
    </row>
    <row r="16" customFormat="false" ht="16.5" hidden="false" customHeight="true" outlineLevel="0" collapsed="false">
      <c r="B16" s="17" t="s">
        <v>112</v>
      </c>
      <c r="D16" s="25" t="n">
        <f aca="false">D6+D13</f>
        <v>24.6</v>
      </c>
      <c r="E16" s="25" t="n">
        <f aca="false">E6+E13</f>
        <v>11.62</v>
      </c>
      <c r="F16" s="25" t="n">
        <f aca="false">F6+F13</f>
        <v>16.3</v>
      </c>
      <c r="H16" s="28" t="s">
        <v>113</v>
      </c>
    </row>
    <row r="17" customFormat="false" ht="16.5" hidden="false" customHeight="true" outlineLevel="0" collapsed="false">
      <c r="B17" s="21" t="s">
        <v>114</v>
      </c>
      <c r="D17" s="23" t="n">
        <f aca="false">D16/100.8</f>
        <v>0.244047619047619</v>
      </c>
      <c r="E17" s="23" t="n">
        <f aca="false">E16/91.4</f>
        <v>0.127133479212254</v>
      </c>
      <c r="F17" s="23" t="n">
        <f aca="false">F16/95.2</f>
        <v>0.171218487394958</v>
      </c>
      <c r="H17" s="28" t="s">
        <v>115</v>
      </c>
    </row>
    <row r="18" customFormat="false" ht="16.5" hidden="false" customHeight="true" outlineLevel="0" collapsed="false">
      <c r="B18" s="21"/>
      <c r="D18" s="29"/>
      <c r="E18" s="29"/>
      <c r="F18" s="29"/>
      <c r="H18" s="28"/>
    </row>
    <row r="19" customFormat="false" ht="16.5" hidden="false" customHeight="true" outlineLevel="0" collapsed="false">
      <c r="B19" s="16" t="s">
        <v>116</v>
      </c>
      <c r="C19" s="16"/>
      <c r="D19" s="16"/>
      <c r="E19" s="16"/>
      <c r="F19" s="16"/>
      <c r="G19" s="16"/>
      <c r="H19" s="16"/>
    </row>
    <row r="20" customFormat="false" ht="16.5" hidden="false" customHeight="true" outlineLevel="0" collapsed="false">
      <c r="B20" s="21" t="s">
        <v>117</v>
      </c>
      <c r="D20" s="31" t="n">
        <f aca="false">D16-D6</f>
        <v>0</v>
      </c>
      <c r="E20" s="31" t="n">
        <f aca="false">E16-E6</f>
        <v>0.92</v>
      </c>
      <c r="F20" s="31" t="n">
        <f aca="false">F16-F6</f>
        <v>0</v>
      </c>
      <c r="H20" s="28" t="s">
        <v>118</v>
      </c>
    </row>
    <row r="21" customFormat="false" ht="16.5" hidden="false" customHeight="true" outlineLevel="0" collapsed="false">
      <c r="B21" s="17" t="s">
        <v>119</v>
      </c>
      <c r="D21" s="25"/>
      <c r="E21" s="25"/>
      <c r="F21" s="25"/>
      <c r="H21" s="28" t="s">
        <v>120</v>
      </c>
    </row>
    <row r="22" customFormat="false" ht="16.5" hidden="false" customHeight="true" outlineLevel="0" collapsed="false">
      <c r="B22" s="21" t="s">
        <v>121</v>
      </c>
      <c r="D22" s="29"/>
      <c r="E22" s="29"/>
      <c r="F22" s="29"/>
      <c r="H22" s="28" t="s">
        <v>122</v>
      </c>
    </row>
  </sheetData>
  <mergeCells count="8">
    <mergeCell ref="B1:H1"/>
    <mergeCell ref="B2:H2"/>
    <mergeCell ref="B5:H5"/>
    <mergeCell ref="B8:H8"/>
    <mergeCell ref="B15:H15"/>
    <mergeCell ref="B19:H19"/>
    <mergeCell ref="D21:F21"/>
    <mergeCell ref="D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4"/>
    <col collapsed="false" customWidth="true" hidden="false" outlineLevel="0" max="6" min="4" style="1" width="16"/>
    <col collapsed="false" customWidth="true" hidden="false" outlineLevel="0" max="7" min="7" style="1" width="4"/>
    <col collapsed="false" customWidth="true" hidden="false" outlineLevel="0" max="8" min="8" style="1" width="28"/>
  </cols>
  <sheetData>
    <row r="1" customFormat="false" ht="27.75" hidden="false" customHeight="true" outlineLevel="0" collapsed="false">
      <c r="B1" s="13" t="s">
        <v>123</v>
      </c>
      <c r="C1" s="13"/>
      <c r="D1" s="13"/>
      <c r="E1" s="13"/>
      <c r="F1" s="13"/>
      <c r="G1" s="13"/>
      <c r="H1" s="13"/>
    </row>
    <row r="2" customFormat="false" ht="15" hidden="false" customHeight="true" outlineLevel="0" collapsed="false">
      <c r="B2" s="14" t="s">
        <v>124</v>
      </c>
      <c r="C2" s="14"/>
      <c r="D2" s="14"/>
      <c r="E2" s="14"/>
      <c r="F2" s="14"/>
      <c r="G2" s="14"/>
      <c r="H2" s="14"/>
    </row>
    <row r="4" customFormat="false" ht="19.5" hidden="false" customHeight="true" outlineLevel="0" collapsed="false">
      <c r="A4" s="15"/>
      <c r="B4" s="15" t="s">
        <v>95</v>
      </c>
      <c r="C4" s="15"/>
      <c r="D4" s="15" t="s">
        <v>44</v>
      </c>
      <c r="E4" s="15" t="s">
        <v>45</v>
      </c>
      <c r="F4" s="15" t="s">
        <v>46</v>
      </c>
      <c r="G4" s="15"/>
      <c r="H4" s="27" t="s">
        <v>125</v>
      </c>
    </row>
    <row r="5" customFormat="false" ht="16.5" hidden="false" customHeight="true" outlineLevel="0" collapsed="false">
      <c r="B5" s="16" t="s">
        <v>126</v>
      </c>
      <c r="C5" s="16"/>
      <c r="D5" s="16"/>
      <c r="E5" s="16"/>
      <c r="F5" s="16"/>
      <c r="G5" s="16"/>
      <c r="H5" s="16"/>
    </row>
    <row r="6" customFormat="false" ht="16.5" hidden="false" customHeight="true" outlineLevel="0" collapsed="false">
      <c r="B6" s="21" t="s">
        <v>127</v>
      </c>
      <c r="D6" s="32" t="n">
        <v>100.8</v>
      </c>
      <c r="E6" s="32" t="n">
        <v>91.4</v>
      </c>
      <c r="F6" s="32" t="n">
        <v>95.2</v>
      </c>
      <c r="H6" s="28" t="s">
        <v>128</v>
      </c>
    </row>
    <row r="7" customFormat="false" ht="16.5" hidden="false" customHeight="true" outlineLevel="0" collapsed="false">
      <c r="B7" s="21" t="s">
        <v>129</v>
      </c>
      <c r="D7" s="33" t="n">
        <f aca="false">D6*1.2</f>
        <v>120.96</v>
      </c>
      <c r="E7" s="33" t="n">
        <f aca="false">E6*1.2</f>
        <v>109.68</v>
      </c>
      <c r="F7" s="33" t="n">
        <f aca="false">F6*1.2</f>
        <v>114.24</v>
      </c>
      <c r="H7" s="28" t="s">
        <v>130</v>
      </c>
    </row>
    <row r="8" customFormat="false" ht="16.5" hidden="false" customHeight="true" outlineLevel="0" collapsed="false">
      <c r="B8" s="21" t="s">
        <v>131</v>
      </c>
      <c r="D8" s="32" t="n">
        <v>45.4</v>
      </c>
      <c r="E8" s="32" t="n">
        <v>44.8</v>
      </c>
      <c r="F8" s="32" t="n">
        <v>44.8</v>
      </c>
      <c r="H8" s="28" t="s">
        <v>132</v>
      </c>
    </row>
    <row r="9" customFormat="false" ht="16.5" hidden="false" customHeight="true" outlineLevel="0" collapsed="false">
      <c r="B9" s="21" t="s">
        <v>133</v>
      </c>
      <c r="D9" s="33" t="n">
        <f aca="false">D8*1.2</f>
        <v>54.48</v>
      </c>
      <c r="E9" s="33" t="n">
        <f aca="false">E8*1.2</f>
        <v>53.76</v>
      </c>
      <c r="F9" s="33" t="n">
        <f aca="false">F8*1.2</f>
        <v>53.76</v>
      </c>
      <c r="H9" s="28" t="s">
        <v>134</v>
      </c>
    </row>
    <row r="10" customFormat="false" ht="16.5" hidden="false" customHeight="true" outlineLevel="0" collapsed="false"/>
    <row r="11" customFormat="false" ht="16.5" hidden="false" customHeight="true" outlineLevel="0" collapsed="false">
      <c r="B11" s="16" t="s">
        <v>135</v>
      </c>
      <c r="C11" s="16"/>
      <c r="D11" s="16"/>
      <c r="E11" s="16"/>
      <c r="F11" s="16"/>
      <c r="G11" s="16"/>
      <c r="H11" s="16"/>
    </row>
    <row r="12" customFormat="false" ht="27.75" hidden="false" customHeight="true" outlineLevel="0" collapsed="false">
      <c r="B12" s="21" t="s">
        <v>136</v>
      </c>
      <c r="D12" s="32" t="n">
        <v>16</v>
      </c>
      <c r="E12" s="32" t="n">
        <v>15.2</v>
      </c>
      <c r="F12" s="32" t="n">
        <v>14.8</v>
      </c>
      <c r="H12" s="28" t="s">
        <v>137</v>
      </c>
    </row>
    <row r="13" customFormat="false" ht="27.75" hidden="false" customHeight="true" outlineLevel="0" collapsed="false">
      <c r="B13" s="21" t="s">
        <v>138</v>
      </c>
      <c r="D13" s="32" t="n">
        <v>15.5</v>
      </c>
      <c r="E13" s="32" t="n">
        <v>14.8</v>
      </c>
      <c r="F13" s="32" t="n">
        <v>16.2</v>
      </c>
      <c r="H13" s="28" t="s">
        <v>139</v>
      </c>
    </row>
    <row r="14" customFormat="false" ht="16.5" hidden="false" customHeight="true" outlineLevel="0" collapsed="false">
      <c r="B14" s="21" t="s">
        <v>140</v>
      </c>
      <c r="D14" s="32" t="n">
        <v>8.2</v>
      </c>
      <c r="E14" s="32" t="n">
        <v>8.5</v>
      </c>
      <c r="F14" s="32" t="n">
        <v>8</v>
      </c>
      <c r="H14" s="28" t="s">
        <v>141</v>
      </c>
    </row>
    <row r="15" customFormat="false" ht="16.5" hidden="false" customHeight="true" outlineLevel="0" collapsed="false"/>
    <row r="16" customFormat="false" ht="16.5" hidden="false" customHeight="true" outlineLevel="0" collapsed="false">
      <c r="B16" s="16" t="s">
        <v>142</v>
      </c>
      <c r="C16" s="16"/>
      <c r="D16" s="16"/>
      <c r="E16" s="16"/>
      <c r="F16" s="16"/>
      <c r="G16" s="16"/>
      <c r="H16" s="16"/>
    </row>
    <row r="17" customFormat="false" ht="16.5" hidden="false" customHeight="true" outlineLevel="0" collapsed="false">
      <c r="B17" s="21" t="s">
        <v>143</v>
      </c>
      <c r="D17" s="34" t="n">
        <f aca="false">IFERROR(D12/D7*365,0)</f>
        <v>48.2804232804233</v>
      </c>
      <c r="E17" s="34" t="n">
        <f aca="false">IFERROR(E12/E7*365,0)</f>
        <v>50.583515681984</v>
      </c>
      <c r="F17" s="34" t="n">
        <f aca="false">IFERROR(F12/F7*365,0)</f>
        <v>47.2864145658263</v>
      </c>
      <c r="H17" s="28" t="s">
        <v>144</v>
      </c>
    </row>
    <row r="18" customFormat="false" ht="16.5" hidden="false" customHeight="true" outlineLevel="0" collapsed="false">
      <c r="B18" s="21" t="s">
        <v>145</v>
      </c>
      <c r="D18" s="34" t="n">
        <f aca="false">IFERROR(D13/D8*365,0)</f>
        <v>124.614537444934</v>
      </c>
      <c r="E18" s="34" t="n">
        <f aca="false">IFERROR(E13/E8*365,0)</f>
        <v>120.580357142857</v>
      </c>
      <c r="F18" s="34" t="n">
        <f aca="false">IFERROR(F13/F8*365,0)</f>
        <v>131.986607142857</v>
      </c>
      <c r="H18" s="28" t="s">
        <v>146</v>
      </c>
    </row>
    <row r="19" customFormat="false" ht="16.5" hidden="false" customHeight="true" outlineLevel="0" collapsed="false">
      <c r="B19" s="21" t="s">
        <v>147</v>
      </c>
      <c r="D19" s="34" t="n">
        <f aca="false">IFERROR(D14/D9*365,0)</f>
        <v>54.9375917767988</v>
      </c>
      <c r="E19" s="34" t="n">
        <f aca="false">IFERROR(E14/E9*365,0)</f>
        <v>57.710193452381</v>
      </c>
      <c r="F19" s="34" t="n">
        <f aca="false">IFERROR(F14/F9*365,0)</f>
        <v>54.3154761904762</v>
      </c>
      <c r="H19" s="28" t="s">
        <v>148</v>
      </c>
    </row>
    <row r="20" customFormat="false" ht="16.5" hidden="false" customHeight="true" outlineLevel="0" collapsed="false"/>
    <row r="21" customFormat="false" ht="16.5" hidden="false" customHeight="true" outlineLevel="0" collapsed="false">
      <c r="B21" s="16" t="s">
        <v>149</v>
      </c>
      <c r="C21" s="16"/>
      <c r="D21" s="16"/>
      <c r="E21" s="16"/>
      <c r="F21" s="16"/>
      <c r="G21" s="16"/>
      <c r="H21" s="16"/>
    </row>
    <row r="22" customFormat="false" ht="16.5" hidden="false" customHeight="true" outlineLevel="0" collapsed="false">
      <c r="B22" s="17" t="s">
        <v>150</v>
      </c>
      <c r="D22" s="25" t="n">
        <f aca="false">D12+D13-D14</f>
        <v>23.3</v>
      </c>
      <c r="E22" s="25" t="n">
        <f aca="false">E12+E13-E14</f>
        <v>21.5</v>
      </c>
      <c r="F22" s="25" t="n">
        <f aca="false">F12+F13-F14</f>
        <v>23</v>
      </c>
      <c r="H22" s="28" t="s">
        <v>151</v>
      </c>
    </row>
    <row r="23" customFormat="false" ht="16.5" hidden="false" customHeight="true" outlineLevel="0" collapsed="false"/>
    <row r="24" customFormat="false" ht="16.5" hidden="false" customHeight="true" outlineLevel="0" collapsed="false">
      <c r="B24" s="21" t="s">
        <v>152</v>
      </c>
      <c r="D24" s="34" t="n">
        <f aca="false">D17+D18-D19</f>
        <v>117.957368948558</v>
      </c>
      <c r="E24" s="34" t="n">
        <f aca="false">E17+E18-E19</f>
        <v>113.45367937246</v>
      </c>
      <c r="F24" s="34" t="n">
        <f aca="false">F17+F18-F19</f>
        <v>124.957545518207</v>
      </c>
      <c r="H24" s="28" t="s">
        <v>153</v>
      </c>
    </row>
    <row r="25" customFormat="false" ht="16.5" hidden="false" customHeight="true" outlineLevel="0" collapsed="false">
      <c r="B25" s="17" t="s">
        <v>154</v>
      </c>
      <c r="D25" s="25" t="n">
        <f aca="false">D24/365*D6</f>
        <v>32.575624082232</v>
      </c>
      <c r="E25" s="25" t="n">
        <f aca="false">E24/365*E6</f>
        <v>28.4100446428572</v>
      </c>
      <c r="F25" s="25" t="n">
        <f aca="false">F24/365*F6</f>
        <v>32.5916666666667</v>
      </c>
      <c r="H25" s="28" t="s">
        <v>155</v>
      </c>
    </row>
    <row r="26" customFormat="false" ht="16.5" hidden="false" customHeight="true" outlineLevel="0" collapsed="false">
      <c r="B26" s="21" t="s">
        <v>156</v>
      </c>
      <c r="D26" s="35" t="n">
        <f aca="false">IFERROR(D25/D6,0)</f>
        <v>0.323170873831667</v>
      </c>
      <c r="E26" s="35" t="n">
        <f aca="false">IFERROR(E25/E6,0)</f>
        <v>0.310831998280713</v>
      </c>
      <c r="F26" s="35" t="n">
        <f aca="false">IFERROR(F25/F6,0)</f>
        <v>0.34234943977591</v>
      </c>
      <c r="H26" s="28"/>
    </row>
    <row r="27" customFormat="false" ht="16.5" hidden="false" customHeight="true" outlineLevel="0" collapsed="false"/>
    <row r="28" customFormat="false" ht="16.5" hidden="false" customHeight="true" outlineLevel="0" collapsed="false">
      <c r="B28" s="16" t="s">
        <v>157</v>
      </c>
      <c r="C28" s="16"/>
      <c r="D28" s="16"/>
      <c r="E28" s="16"/>
      <c r="F28" s="16"/>
      <c r="G28" s="16"/>
      <c r="H28" s="16"/>
    </row>
    <row r="29" customFormat="false" ht="27.75" hidden="false" customHeight="true" outlineLevel="0" collapsed="false">
      <c r="B29" s="17" t="s">
        <v>158</v>
      </c>
      <c r="D29" s="25" t="n">
        <f aca="false">D25-D22</f>
        <v>9.27562408223201</v>
      </c>
      <c r="E29" s="25" t="n">
        <f aca="false">E25-E22</f>
        <v>6.91004464285715</v>
      </c>
      <c r="F29" s="25" t="n">
        <f aca="false">F25-F22</f>
        <v>9.59166666666667</v>
      </c>
      <c r="H29" s="28" t="s">
        <v>159</v>
      </c>
    </row>
    <row r="30" customFormat="false" ht="27.75" hidden="false" customHeight="true" outlineLevel="0" collapsed="false">
      <c r="B30" s="21" t="s">
        <v>160</v>
      </c>
      <c r="D30" s="36"/>
      <c r="E30" s="36"/>
      <c r="F30" s="36"/>
      <c r="H30" s="28" t="s">
        <v>161</v>
      </c>
    </row>
    <row r="31" customFormat="false" ht="16.5" hidden="false" customHeight="true" outlineLevel="0" collapsed="false">
      <c r="B31" s="17" t="s">
        <v>162</v>
      </c>
      <c r="D31" s="36"/>
      <c r="E31" s="37" t="n">
        <f aca="false">E29</f>
        <v>6.91004464285715</v>
      </c>
      <c r="F31" s="36"/>
      <c r="H31" s="28" t="s">
        <v>163</v>
      </c>
    </row>
  </sheetData>
  <mergeCells count="7">
    <mergeCell ref="B1:H1"/>
    <mergeCell ref="B2:H2"/>
    <mergeCell ref="B5:H5"/>
    <mergeCell ref="B11:H11"/>
    <mergeCell ref="B16:H16"/>
    <mergeCell ref="B21:H21"/>
    <mergeCell ref="B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4"/>
    <col collapsed="false" customWidth="true" hidden="false" outlineLevel="0" max="6" min="4" style="1" width="16"/>
    <col collapsed="false" customWidth="true" hidden="false" outlineLevel="0" max="7" min="7" style="1" width="4"/>
    <col collapsed="false" customWidth="true" hidden="false" outlineLevel="0" max="8" min="8" style="1" width="30"/>
  </cols>
  <sheetData>
    <row r="1" customFormat="false" ht="27.75" hidden="false" customHeight="true" outlineLevel="0" collapsed="false">
      <c r="B1" s="13" t="s">
        <v>164</v>
      </c>
      <c r="C1" s="13"/>
      <c r="D1" s="13"/>
      <c r="E1" s="13"/>
      <c r="F1" s="13"/>
      <c r="G1" s="13"/>
      <c r="H1" s="13"/>
    </row>
    <row r="2" customFormat="false" ht="15" hidden="false" customHeight="true" outlineLevel="0" collapsed="false">
      <c r="B2" s="14" t="s">
        <v>165</v>
      </c>
      <c r="C2" s="14"/>
      <c r="D2" s="14"/>
      <c r="E2" s="14"/>
      <c r="F2" s="14"/>
      <c r="G2" s="14"/>
      <c r="H2" s="14"/>
    </row>
    <row r="4" customFormat="false" ht="19.5" hidden="false" customHeight="true" outlineLevel="0" collapsed="false">
      <c r="A4" s="15"/>
      <c r="B4" s="15" t="s">
        <v>95</v>
      </c>
      <c r="C4" s="15"/>
      <c r="D4" s="15" t="s">
        <v>44</v>
      </c>
      <c r="E4" s="15" t="s">
        <v>45</v>
      </c>
      <c r="F4" s="15" t="s">
        <v>46</v>
      </c>
      <c r="G4" s="15"/>
      <c r="H4" s="27" t="s">
        <v>96</v>
      </c>
    </row>
    <row r="5" customFormat="false" ht="16.5" hidden="false" customHeight="true" outlineLevel="0" collapsed="false">
      <c r="B5" s="16" t="s">
        <v>166</v>
      </c>
      <c r="C5" s="16"/>
      <c r="D5" s="16"/>
      <c r="E5" s="16"/>
      <c r="F5" s="16"/>
      <c r="G5" s="16"/>
      <c r="H5" s="16"/>
    </row>
    <row r="6" customFormat="false" ht="16.5" hidden="false" customHeight="true" outlineLevel="0" collapsed="false">
      <c r="B6" s="21" t="s">
        <v>167</v>
      </c>
      <c r="D6" s="32" t="n">
        <v>45.6</v>
      </c>
      <c r="E6" s="32" t="n">
        <v>40.3</v>
      </c>
      <c r="F6" s="32" t="n">
        <v>37.2</v>
      </c>
      <c r="H6" s="28" t="s">
        <v>168</v>
      </c>
    </row>
    <row r="7" customFormat="false" ht="16.5" hidden="false" customHeight="true" outlineLevel="0" collapsed="false">
      <c r="B7" s="21" t="s">
        <v>169</v>
      </c>
      <c r="D7" s="32" t="n">
        <v>-31.6</v>
      </c>
      <c r="E7" s="32" t="n">
        <v>-30.9</v>
      </c>
      <c r="F7" s="32" t="n">
        <v>-22</v>
      </c>
      <c r="H7" s="28" t="s">
        <v>170</v>
      </c>
    </row>
    <row r="8" customFormat="false" ht="16.5" hidden="false" customHeight="true" outlineLevel="0" collapsed="false">
      <c r="B8" s="17" t="s">
        <v>171</v>
      </c>
      <c r="D8" s="25" t="n">
        <f aca="false">D6+D7</f>
        <v>14</v>
      </c>
      <c r="E8" s="25" t="n">
        <f aca="false">E6+E7</f>
        <v>9.4</v>
      </c>
      <c r="F8" s="25" t="n">
        <f aca="false">F6+F7</f>
        <v>15.2</v>
      </c>
      <c r="H8" s="28" t="s">
        <v>172</v>
      </c>
    </row>
    <row r="9" customFormat="false" ht="16.5" hidden="false" customHeight="true" outlineLevel="0" collapsed="false"/>
    <row r="10" customFormat="false" ht="16.5" hidden="false" customHeight="true" outlineLevel="0" collapsed="false">
      <c r="B10" s="16" t="s">
        <v>173</v>
      </c>
      <c r="C10" s="16"/>
      <c r="D10" s="16"/>
      <c r="E10" s="16"/>
      <c r="F10" s="16"/>
      <c r="G10" s="16"/>
      <c r="H10" s="16"/>
    </row>
    <row r="11" customFormat="false" ht="30" hidden="false" customHeight="true" outlineLevel="0" collapsed="false">
      <c r="B11" s="21" t="s">
        <v>174</v>
      </c>
      <c r="D11" s="38" t="n">
        <v>1.2</v>
      </c>
      <c r="E11" s="38" t="n">
        <v>1.5</v>
      </c>
      <c r="F11" s="38" t="n">
        <v>1.5</v>
      </c>
      <c r="H11" s="28" t="s">
        <v>175</v>
      </c>
    </row>
    <row r="12" customFormat="false" ht="30" hidden="false" customHeight="true" outlineLevel="0" collapsed="false">
      <c r="B12" s="21" t="s">
        <v>176</v>
      </c>
      <c r="D12" s="32" t="n">
        <v>0.8</v>
      </c>
      <c r="E12" s="32" t="n">
        <v>0.8</v>
      </c>
      <c r="F12" s="32" t="n">
        <v>0.6</v>
      </c>
      <c r="H12" s="28" t="s">
        <v>177</v>
      </c>
    </row>
    <row r="13" customFormat="false" ht="16.5" hidden="false" customHeight="true" outlineLevel="0" collapsed="false">
      <c r="B13" s="21" t="s">
        <v>178</v>
      </c>
      <c r="D13" s="38" t="n">
        <v>0</v>
      </c>
      <c r="E13" s="38" t="n">
        <v>0</v>
      </c>
      <c r="F13" s="38" t="n">
        <v>0</v>
      </c>
      <c r="H13" s="28" t="s">
        <v>179</v>
      </c>
    </row>
    <row r="14" customFormat="false" ht="16.5" hidden="false" customHeight="true" outlineLevel="0" collapsed="false">
      <c r="B14" s="21" t="s">
        <v>180</v>
      </c>
      <c r="D14" s="32" t="n">
        <v>0</v>
      </c>
      <c r="E14" s="32" t="n">
        <v>0</v>
      </c>
      <c r="F14" s="32" t="n">
        <v>0</v>
      </c>
      <c r="H14" s="28" t="s">
        <v>181</v>
      </c>
    </row>
    <row r="15" customFormat="false" ht="16.5" hidden="false" customHeight="true" outlineLevel="0" collapsed="false">
      <c r="B15" s="17" t="s">
        <v>182</v>
      </c>
      <c r="D15" s="25" t="n">
        <f aca="false">SUM(D11:D14)</f>
        <v>2</v>
      </c>
      <c r="E15" s="25" t="n">
        <f aca="false">SUM(E11:E14)</f>
        <v>2.3</v>
      </c>
      <c r="F15" s="25" t="n">
        <f aca="false">SUM(F11:F14)</f>
        <v>2.1</v>
      </c>
      <c r="H15" s="28" t="s">
        <v>183</v>
      </c>
    </row>
    <row r="16" customFormat="false" ht="16.5" hidden="false" customHeight="true" outlineLevel="0" collapsed="false"/>
    <row r="17" customFormat="false" ht="16.5" hidden="false" customHeight="true" outlineLevel="0" collapsed="false">
      <c r="B17" s="16" t="s">
        <v>184</v>
      </c>
      <c r="C17" s="16"/>
      <c r="D17" s="16"/>
      <c r="E17" s="16"/>
      <c r="F17" s="16"/>
      <c r="G17" s="16"/>
      <c r="H17" s="16"/>
    </row>
    <row r="18" customFormat="false" ht="16.5" hidden="false" customHeight="true" outlineLevel="0" collapsed="false">
      <c r="B18" s="17" t="s">
        <v>185</v>
      </c>
      <c r="D18" s="39" t="n">
        <f aca="false">D8+D15</f>
        <v>16</v>
      </c>
      <c r="E18" s="39" t="n">
        <f aca="false">E8+E15</f>
        <v>11.7</v>
      </c>
      <c r="F18" s="39" t="n">
        <f aca="false">F8+F15</f>
        <v>17.3</v>
      </c>
      <c r="H18" s="28" t="s">
        <v>186</v>
      </c>
    </row>
    <row r="19" customFormat="false" ht="16.5" hidden="false" customHeight="true" outlineLevel="0" collapsed="false"/>
    <row r="20" customFormat="false" ht="16.5" hidden="false" customHeight="true" outlineLevel="0" collapsed="false">
      <c r="B20" s="16" t="s">
        <v>187</v>
      </c>
      <c r="C20" s="16"/>
      <c r="D20" s="16"/>
      <c r="E20" s="16"/>
      <c r="F20" s="16"/>
      <c r="G20" s="16"/>
      <c r="H20" s="16"/>
    </row>
    <row r="21" customFormat="false" ht="16.5" hidden="false" customHeight="true" outlineLevel="0" collapsed="false">
      <c r="B21" s="21" t="s">
        <v>188</v>
      </c>
      <c r="D21" s="40" t="n">
        <f aca="false">IFERROR(D8/24.6,0)</f>
        <v>0.569105691056911</v>
      </c>
      <c r="E21" s="40" t="n">
        <f aca="false">IFERROR(E8/11.6,0)</f>
        <v>0.810344827586207</v>
      </c>
      <c r="F21" s="40" t="n">
        <f aca="false">IFERROR(F8/16.3,0)</f>
        <v>0.932515337423313</v>
      </c>
      <c r="H21" s="28" t="s">
        <v>189</v>
      </c>
    </row>
    <row r="22" customFormat="false" ht="16.5" hidden="false" customHeight="true" outlineLevel="0" collapsed="false">
      <c r="B22" s="21" t="s">
        <v>190</v>
      </c>
      <c r="D22" s="40" t="n">
        <f aca="false">IFERROR(D18/24.6,0)</f>
        <v>0.650406504065041</v>
      </c>
      <c r="E22" s="40" t="n">
        <f aca="false">IFERROR(E18/11.6,0)</f>
        <v>1.00862068965517</v>
      </c>
      <c r="F22" s="40" t="n">
        <f aca="false">IFERROR(F18/16.3,0)</f>
        <v>1.06134969325153</v>
      </c>
      <c r="H22" s="28" t="s">
        <v>191</v>
      </c>
    </row>
    <row r="23" customFormat="false" ht="16.5" hidden="false" customHeight="true" outlineLevel="0" collapsed="false">
      <c r="B23" s="21" t="s">
        <v>192</v>
      </c>
      <c r="D23" s="32" t="n">
        <v>0.2</v>
      </c>
      <c r="E23" s="32" t="n">
        <v>0.14</v>
      </c>
      <c r="F23" s="32" t="n">
        <v>0.04</v>
      </c>
      <c r="H23" s="28" t="s">
        <v>193</v>
      </c>
    </row>
    <row r="24" customFormat="false" ht="16.5" hidden="false" customHeight="true" outlineLevel="0" collapsed="false">
      <c r="B24" s="21" t="s">
        <v>194</v>
      </c>
      <c r="D24" s="41" t="n">
        <v>24.6</v>
      </c>
      <c r="E24" s="41" t="n">
        <v>11.6</v>
      </c>
      <c r="F24" s="41" t="n">
        <v>16.3</v>
      </c>
      <c r="H24" s="28" t="s">
        <v>195</v>
      </c>
    </row>
  </sheetData>
  <mergeCells count="6">
    <mergeCell ref="B1:H1"/>
    <mergeCell ref="B2:H2"/>
    <mergeCell ref="B5:H5"/>
    <mergeCell ref="B10:H10"/>
    <mergeCell ref="B17:H17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4"/>
    <col collapsed="false" customWidth="true" hidden="false" outlineLevel="0" max="6" min="4" style="1" width="18"/>
    <col collapsed="false" customWidth="true" hidden="false" outlineLevel="0" max="7" min="7" style="1" width="4"/>
    <col collapsed="false" customWidth="true" hidden="false" outlineLevel="0" max="8" min="8" style="1" width="28"/>
  </cols>
  <sheetData>
    <row r="1" customFormat="false" ht="27.75" hidden="false" customHeight="true" outlineLevel="0" collapsed="false">
      <c r="B1" s="13" t="s">
        <v>196</v>
      </c>
      <c r="C1" s="13"/>
      <c r="D1" s="13"/>
      <c r="E1" s="13"/>
      <c r="F1" s="13"/>
      <c r="G1" s="13"/>
      <c r="H1" s="13"/>
    </row>
    <row r="2" customFormat="false" ht="15" hidden="false" customHeight="true" outlineLevel="0" collapsed="false">
      <c r="B2" s="14" t="s">
        <v>197</v>
      </c>
      <c r="C2" s="14"/>
      <c r="D2" s="14"/>
      <c r="E2" s="14"/>
      <c r="F2" s="14"/>
      <c r="G2" s="14"/>
      <c r="H2" s="14"/>
    </row>
    <row r="4" customFormat="false" ht="19.5" hidden="false" customHeight="true" outlineLevel="0" collapsed="false">
      <c r="A4" s="15"/>
      <c r="B4" s="15" t="s">
        <v>95</v>
      </c>
      <c r="C4" s="15"/>
      <c r="D4" s="15" t="s">
        <v>198</v>
      </c>
      <c r="E4" s="15" t="s">
        <v>199</v>
      </c>
      <c r="F4" s="15" t="s">
        <v>200</v>
      </c>
      <c r="G4" s="15"/>
      <c r="H4" s="27" t="s">
        <v>201</v>
      </c>
    </row>
    <row r="5" customFormat="false" ht="16.5" hidden="false" customHeight="true" outlineLevel="0" collapsed="false">
      <c r="B5" s="16" t="s">
        <v>202</v>
      </c>
      <c r="C5" s="16"/>
      <c r="D5" s="16"/>
      <c r="E5" s="16"/>
      <c r="F5" s="16"/>
      <c r="G5" s="16"/>
      <c r="H5" s="16"/>
    </row>
    <row r="6" customFormat="false" ht="16.5" hidden="false" customHeight="true" outlineLevel="0" collapsed="false">
      <c r="B6" s="21" t="s">
        <v>203</v>
      </c>
      <c r="D6" s="42" t="n">
        <v>11.6</v>
      </c>
      <c r="E6" s="42" t="n">
        <v>14</v>
      </c>
      <c r="F6" s="42" t="n">
        <v>16.3</v>
      </c>
      <c r="H6" s="28" t="s">
        <v>204</v>
      </c>
    </row>
    <row r="7" customFormat="false" ht="30" hidden="false" customHeight="true" outlineLevel="0" collapsed="false">
      <c r="B7" s="21" t="s">
        <v>205</v>
      </c>
      <c r="D7" s="42" t="n">
        <v>5</v>
      </c>
      <c r="E7" s="42" t="n">
        <v>6</v>
      </c>
      <c r="F7" s="42" t="n">
        <v>7</v>
      </c>
      <c r="H7" s="28" t="s">
        <v>206</v>
      </c>
    </row>
    <row r="8" customFormat="false" ht="16.5" hidden="false" customHeight="true" outlineLevel="0" collapsed="false"/>
    <row r="9" customFormat="false" ht="16.5" hidden="false" customHeight="true" outlineLevel="0" collapsed="false">
      <c r="B9" s="16" t="s">
        <v>207</v>
      </c>
      <c r="C9" s="16"/>
      <c r="D9" s="16"/>
      <c r="E9" s="16"/>
      <c r="F9" s="16"/>
      <c r="G9" s="16"/>
      <c r="H9" s="16"/>
    </row>
    <row r="10" customFormat="false" ht="16.5" hidden="false" customHeight="true" outlineLevel="0" collapsed="false">
      <c r="B10" s="17" t="s">
        <v>208</v>
      </c>
      <c r="D10" s="43" t="n">
        <f aca="false">D6*D7</f>
        <v>58</v>
      </c>
      <c r="E10" s="43" t="n">
        <f aca="false">E6*E7</f>
        <v>84</v>
      </c>
      <c r="F10" s="43" t="n">
        <f aca="false">F6*F7</f>
        <v>114.1</v>
      </c>
      <c r="H10" s="28"/>
    </row>
    <row r="11" customFormat="false" ht="16.5" hidden="false" customHeight="true" outlineLevel="0" collapsed="false"/>
    <row r="12" customFormat="false" ht="16.5" hidden="false" customHeight="true" outlineLevel="0" collapsed="false">
      <c r="B12" s="16" t="s">
        <v>209</v>
      </c>
      <c r="C12" s="16"/>
      <c r="D12" s="16"/>
      <c r="E12" s="16"/>
      <c r="F12" s="16"/>
      <c r="G12" s="16"/>
      <c r="H12" s="16"/>
    </row>
    <row r="13" customFormat="false" ht="16.5" hidden="false" customHeight="true" outlineLevel="0" collapsed="false">
      <c r="B13" s="21" t="s">
        <v>210</v>
      </c>
      <c r="D13" s="44" t="n">
        <v>-9.4</v>
      </c>
      <c r="E13" s="44" t="n">
        <v>-9.4</v>
      </c>
      <c r="F13" s="44" t="n">
        <v>-9.4</v>
      </c>
      <c r="H13" s="28" t="s">
        <v>211</v>
      </c>
    </row>
    <row r="14" customFormat="false" ht="16.5" hidden="false" customHeight="true" outlineLevel="0" collapsed="false">
      <c r="B14" s="21" t="s">
        <v>212</v>
      </c>
      <c r="D14" s="44" t="n">
        <v>-1.5</v>
      </c>
      <c r="E14" s="44" t="n">
        <v>-1.5</v>
      </c>
      <c r="F14" s="44" t="n">
        <v>-1.5</v>
      </c>
      <c r="H14" s="28" t="s">
        <v>213</v>
      </c>
    </row>
    <row r="15" customFormat="false" ht="16.5" hidden="false" customHeight="true" outlineLevel="0" collapsed="false">
      <c r="B15" s="21" t="s">
        <v>214</v>
      </c>
      <c r="D15" s="44" t="n">
        <v>-0.8</v>
      </c>
      <c r="E15" s="44" t="n">
        <v>-0.8</v>
      </c>
      <c r="F15" s="44" t="n">
        <v>-0.8</v>
      </c>
      <c r="H15" s="28" t="s">
        <v>213</v>
      </c>
    </row>
    <row r="16" customFormat="false" ht="16.5" hidden="false" customHeight="true" outlineLevel="0" collapsed="false">
      <c r="B16" s="21" t="s">
        <v>215</v>
      </c>
      <c r="D16" s="44" t="n">
        <v>-7</v>
      </c>
      <c r="E16" s="44" t="n">
        <v>-7</v>
      </c>
      <c r="F16" s="44" t="n">
        <v>-7</v>
      </c>
      <c r="H16" s="28" t="s">
        <v>216</v>
      </c>
    </row>
    <row r="17" customFormat="false" ht="30" hidden="false" customHeight="true" outlineLevel="0" collapsed="false">
      <c r="B17" s="21" t="s">
        <v>217</v>
      </c>
      <c r="D17" s="22" t="n">
        <v>0</v>
      </c>
      <c r="E17" s="22" t="n">
        <v>0</v>
      </c>
      <c r="F17" s="22" t="n">
        <v>0</v>
      </c>
      <c r="H17" s="28" t="s">
        <v>218</v>
      </c>
    </row>
    <row r="18" customFormat="false" ht="16.5" hidden="false" customHeight="true" outlineLevel="0" collapsed="false">
      <c r="B18" s="17" t="s">
        <v>219</v>
      </c>
      <c r="D18" s="45" t="n">
        <f aca="false">D10+D13+D14+D15+D16+D17</f>
        <v>39.3</v>
      </c>
      <c r="E18" s="45" t="n">
        <f aca="false">E10+E13+E14+E15+E16+E17</f>
        <v>65.3</v>
      </c>
      <c r="F18" s="45" t="n">
        <f aca="false">F10+F13+F14+F15+F16+F17</f>
        <v>95.4</v>
      </c>
      <c r="H18" s="28" t="s">
        <v>220</v>
      </c>
    </row>
    <row r="19" customFormat="false" ht="16.5" hidden="false" customHeight="true" outlineLevel="0" collapsed="false"/>
    <row r="20" customFormat="false" ht="16.5" hidden="false" customHeight="true" outlineLevel="0" collapsed="false">
      <c r="B20" s="16" t="s">
        <v>221</v>
      </c>
      <c r="C20" s="16"/>
      <c r="D20" s="16"/>
      <c r="E20" s="16"/>
      <c r="F20" s="16"/>
      <c r="G20" s="16"/>
      <c r="H20" s="16"/>
    </row>
    <row r="21" customFormat="false" ht="16.5" hidden="false" customHeight="true" outlineLevel="0" collapsed="false">
      <c r="B21" s="21" t="s">
        <v>222</v>
      </c>
      <c r="D21" s="46" t="n">
        <f aca="false">IFERROR(D18*0.3,0)</f>
        <v>11.79</v>
      </c>
      <c r="E21" s="46" t="n">
        <f aca="false">IFERROR(E18*0.3,0)</f>
        <v>19.59</v>
      </c>
      <c r="F21" s="46" t="n">
        <f aca="false">IFERROR(F18*0.3,0)</f>
        <v>28.62</v>
      </c>
      <c r="H21" s="28" t="s">
        <v>223</v>
      </c>
    </row>
    <row r="22" customFormat="false" ht="16.5" hidden="false" customHeight="true" outlineLevel="0" collapsed="false">
      <c r="B22" s="17" t="s">
        <v>224</v>
      </c>
      <c r="D22" s="36"/>
      <c r="E22" s="36"/>
      <c r="F22" s="36"/>
      <c r="H22" s="28"/>
    </row>
    <row r="23" customFormat="false" ht="16.5" hidden="false" customHeight="true" outlineLevel="0" collapsed="false"/>
    <row r="24" customFormat="false" ht="16.5" hidden="false" customHeight="true" outlineLevel="0" collapsed="false">
      <c r="B24" s="16" t="s">
        <v>225</v>
      </c>
      <c r="C24" s="16"/>
      <c r="D24" s="16"/>
      <c r="E24" s="16"/>
      <c r="F24" s="16"/>
      <c r="G24" s="16"/>
      <c r="H24" s="16"/>
    </row>
    <row r="25" customFormat="false" ht="30" hidden="false" customHeight="true" outlineLevel="0" collapsed="false">
      <c r="B25" s="21" t="s">
        <v>226</v>
      </c>
      <c r="D25" s="22" t="n">
        <v>25</v>
      </c>
      <c r="E25" s="22" t="n">
        <v>25</v>
      </c>
      <c r="F25" s="22" t="n">
        <v>25</v>
      </c>
      <c r="H25" s="28" t="s">
        <v>227</v>
      </c>
    </row>
    <row r="26" customFormat="false" ht="16.5" hidden="false" customHeight="true" outlineLevel="0" collapsed="false">
      <c r="B26" s="21" t="s">
        <v>228</v>
      </c>
      <c r="D26" s="46" t="n">
        <f aca="false">D25+9.4</f>
        <v>34.4</v>
      </c>
      <c r="E26" s="46" t="n">
        <f aca="false">E25+9.4</f>
        <v>34.4</v>
      </c>
      <c r="F26" s="46" t="n">
        <f aca="false">F25+9.4</f>
        <v>34.4</v>
      </c>
      <c r="H26" s="28" t="s">
        <v>229</v>
      </c>
    </row>
    <row r="27" customFormat="false" ht="16.5" hidden="false" customHeight="true" outlineLevel="0" collapsed="false">
      <c r="B27" s="21" t="s">
        <v>230</v>
      </c>
      <c r="D27" s="47" t="n">
        <f aca="false">IFERROR(D26/16.3,0)</f>
        <v>2.11042944785276</v>
      </c>
      <c r="E27" s="47" t="n">
        <f aca="false">IFERROR(E26/16.3,0)</f>
        <v>2.11042944785276</v>
      </c>
      <c r="F27" s="47" t="n">
        <f aca="false">IFERROR(F26/16.3,0)</f>
        <v>2.11042944785276</v>
      </c>
      <c r="H27" s="28" t="s">
        <v>231</v>
      </c>
    </row>
    <row r="28" customFormat="false" ht="16.5" hidden="false" customHeight="true" outlineLevel="0" collapsed="false">
      <c r="B28" s="21" t="s">
        <v>232</v>
      </c>
      <c r="D28" s="48" t="n">
        <f aca="false">IFERROR((D18-D25)/D25,0)</f>
        <v>0.572</v>
      </c>
      <c r="E28" s="48" t="n">
        <f aca="false">IFERROR((E18-E25)/E25,0)</f>
        <v>1.612</v>
      </c>
      <c r="F28" s="48" t="n">
        <f aca="false">IFERROR((F18-F25)/F25,0)</f>
        <v>2.816</v>
      </c>
      <c r="H28" s="28" t="s">
        <v>233</v>
      </c>
    </row>
  </sheetData>
  <mergeCells count="7">
    <mergeCell ref="B1:H1"/>
    <mergeCell ref="B2:H2"/>
    <mergeCell ref="B5:H5"/>
    <mergeCell ref="B9:H9"/>
    <mergeCell ref="B12:H12"/>
    <mergeCell ref="B20:H20"/>
    <mergeCell ref="B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2026-06-25T13:58:38Z</dcterms:created>
  <dc:creator>openpyxl</dc:creator>
  <dc:description/>
  <dc:language>en-US</dc:language>
  <cp:lastModifiedBy/>
  <dcterms:modified xsi:type="dcterms:W3CDTF">2026-06-25T13:59:44Z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